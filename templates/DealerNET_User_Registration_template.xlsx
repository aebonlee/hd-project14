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Registration" sheetId="1" state="visible" r:id="rId3"/>
    <sheet name="Sheet" sheetId="2" state="visible" r:id="rId4"/>
    <sheet name="Lists" sheetId="3" state="visible" r:id="rId5"/>
    <sheet name="Field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<sst xmlns="http://schemas.openxmlformats.org/spreadsheetml/2006/main" count="299" uniqueCount="228">
  <si>
    <t xml:space="preserve">DealerNET User Registration - Required (*) Fields</t>
  </si>
  <si>
    <t xml:space="preserve">Yellow cells = enter manually / Green cells = auto formula (do not edit)</t>
  </si>
  <si>
    <t xml:space="preserve">Login ID</t>
  </si>
  <si>
    <t xml:space="preserve">Last Name</t>
  </si>
  <si>
    <t xml:space="preserve">First Name</t>
  </si>
  <si>
    <t xml:space="preserve">Full Name</t>
  </si>
  <si>
    <t xml:space="preserve">Preferred Name</t>
  </si>
  <si>
    <t xml:space="preserve">Country</t>
  </si>
  <si>
    <t xml:space="preserve">Mobile (entry)</t>
  </si>
  <si>
    <t xml:space="preserve">Mobile (upload)</t>
  </si>
  <si>
    <t xml:space="preserve">Email</t>
  </si>
  <si>
    <t xml:space="preserve">Use English (Y/N)</t>
  </si>
  <si>
    <t xml:space="preserve">Primary Business Function</t>
  </si>
  <si>
    <t xml:space="preserve">Preferred Language</t>
  </si>
  <si>
    <t xml:space="preserve">Time Zone</t>
  </si>
  <si>
    <t xml:space="preserve">Member of Dealer</t>
  </si>
  <si>
    <t xml:space="preserve">[Auto-fill rules]</t>
  </si>
  <si>
    <t xml:space="preserve">Login ID = Email (copied automatically)</t>
  </si>
  <si>
    <t xml:space="preserve">Preferred Name = Full Name</t>
  </si>
  <si>
    <t xml:space="preserve">First Name = first word of Full Name / Last Name = last word of Full Name</t>
  </si>
  <si>
    <t xml:space="preserve">  -&gt; For compound surnames (e.g. Garcia Lopez), correct Last Name manually</t>
  </si>
  <si>
    <t xml:space="preserve">Preferred Language = looked up from Country in the Lists sheet ('Add to Lists' if not found)</t>
  </si>
  <si>
    <t xml:space="preserve">Mobile (upload) = Mobile (entry) with + , spaces, hyphens, brackets, dots and slashes removed</t>
  </si>
  <si>
    <t xml:space="preserve">  -&gt; Enter as +61 010 1234 5678; the upload column returns 61010 12345678 without separators</t>
  </si>
  <si>
    <t xml:space="preserve">Country / Use English / Primary Business Function / Time Zone = dropdown selection</t>
  </si>
  <si>
    <t xml:space="preserve">Source: user-uploaded DealerNET user registration screen capture and the Primary Business Function list provided by the user</t>
  </si>
  <si>
    <t xml:space="preserve">Argentina</t>
  </si>
  <si>
    <t xml:space="preserve">Spanish</t>
  </si>
  <si>
    <t xml:space="preserve">Activities Assistant</t>
  </si>
  <si>
    <t xml:space="preserve">Afghanistan</t>
  </si>
  <si>
    <t xml:space="preserve">Australia</t>
  </si>
  <si>
    <t xml:space="preserve">English</t>
  </si>
  <si>
    <t xml:space="preserve">Administrator</t>
  </si>
  <si>
    <t xml:space="preserve">Alaska (Anchorage)</t>
  </si>
  <si>
    <t xml:space="preserve">Bolivia</t>
  </si>
  <si>
    <t xml:space="preserve">Back office</t>
  </si>
  <si>
    <t xml:space="preserve">Alaska (Aleutian)</t>
  </si>
  <si>
    <t xml:space="preserve">Brazil</t>
  </si>
  <si>
    <t xml:space="preserve">Portuguese</t>
  </si>
  <si>
    <t xml:space="preserve">Back office Manager</t>
  </si>
  <si>
    <t xml:space="preserve">Canada</t>
  </si>
  <si>
    <t xml:space="preserve">Branch Manager</t>
  </si>
  <si>
    <t xml:space="preserve">Atlantic Time (Halifax)</t>
  </si>
  <si>
    <t xml:space="preserve">Chile</t>
  </si>
  <si>
    <t xml:space="preserve">Develon Road Service Technician</t>
  </si>
  <si>
    <t xml:space="preserve">Australia Capital Territories</t>
  </si>
  <si>
    <t xml:space="preserve">China</t>
  </si>
  <si>
    <t xml:space="preserve">Chinese</t>
  </si>
  <si>
    <t xml:space="preserve">Develon Service Technician</t>
  </si>
  <si>
    <t xml:space="preserve">Australia Lord Howe Island</t>
  </si>
  <si>
    <t xml:space="preserve">Colombia</t>
  </si>
  <si>
    <t xml:space="preserve">Finance/accounting</t>
  </si>
  <si>
    <t xml:space="preserve">Australia New South Wales</t>
  </si>
  <si>
    <t xml:space="preserve">Costa Rica</t>
  </si>
  <si>
    <t xml:space="preserve">Finance/accounting Manager</t>
  </si>
  <si>
    <t xml:space="preserve">Australia Northern Territories</t>
  </si>
  <si>
    <t xml:space="preserve">Dominican Republic</t>
  </si>
  <si>
    <t xml:space="preserve">Inventory Contact</t>
  </si>
  <si>
    <t xml:space="preserve">Australia Queensland</t>
  </si>
  <si>
    <t xml:space="preserve">Ecuador</t>
  </si>
  <si>
    <t xml:space="preserve">Lender Admin</t>
  </si>
  <si>
    <t xml:space="preserve">Australia South Australia</t>
  </si>
  <si>
    <t xml:space="preserve">Egypt</t>
  </si>
  <si>
    <t xml:space="preserve">Arabic</t>
  </si>
  <si>
    <t xml:space="preserve">Lender General</t>
  </si>
  <si>
    <t xml:space="preserve">Australia Tasmania</t>
  </si>
  <si>
    <t xml:space="preserve">El Salvador</t>
  </si>
  <si>
    <t xml:space="preserve">Logistics/Operation</t>
  </si>
  <si>
    <t xml:space="preserve">Australia Western Australia</t>
  </si>
  <si>
    <t xml:space="preserve">France</t>
  </si>
  <si>
    <t xml:space="preserve">French</t>
  </si>
  <si>
    <t xml:space="preserve">Management</t>
  </si>
  <si>
    <t xml:space="preserve">Europe Azores</t>
  </si>
  <si>
    <t xml:space="preserve">Germany</t>
  </si>
  <si>
    <t xml:space="preserve">German</t>
  </si>
  <si>
    <t xml:space="preserve">Managing director/CEO/Principal</t>
  </si>
  <si>
    <t xml:space="preserve">Azerbaijan</t>
  </si>
  <si>
    <t xml:space="preserve">Guatemala</t>
  </si>
  <si>
    <t xml:space="preserve">Marketing Coordinator</t>
  </si>
  <si>
    <t xml:space="preserve">Bangladesh</t>
  </si>
  <si>
    <t xml:space="preserve">Guyana</t>
  </si>
  <si>
    <t xml:space="preserve">Marketing Department</t>
  </si>
  <si>
    <t xml:space="preserve">Honduras</t>
  </si>
  <si>
    <t xml:space="preserve">Marketing Manager</t>
  </si>
  <si>
    <t xml:space="preserve">Brazil Andes</t>
  </si>
  <si>
    <t xml:space="preserve">India</t>
  </si>
  <si>
    <t xml:space="preserve">NA / Govt. Sales Specialist</t>
  </si>
  <si>
    <t xml:space="preserve">Brazil East</t>
  </si>
  <si>
    <t xml:space="preserve">Indonesia</t>
  </si>
  <si>
    <t xml:space="preserve">Indonesian</t>
  </si>
  <si>
    <t xml:space="preserve">National Account Parts</t>
  </si>
  <si>
    <t xml:space="preserve">Brazil West</t>
  </si>
  <si>
    <t xml:space="preserve">Italy</t>
  </si>
  <si>
    <t xml:space="preserve">Italian</t>
  </si>
  <si>
    <t xml:space="preserve">National Account Sales</t>
  </si>
  <si>
    <t xml:space="preserve">Central Africa</t>
  </si>
  <si>
    <t xml:space="preserve">Japan</t>
  </si>
  <si>
    <t xml:space="preserve">Japanese</t>
  </si>
  <si>
    <t xml:space="preserve">National Account Service</t>
  </si>
  <si>
    <t xml:space="preserve">Central Europe</t>
  </si>
  <si>
    <t xml:space="preserve">Korea</t>
  </si>
  <si>
    <t xml:space="preserve">Korean</t>
  </si>
  <si>
    <t xml:space="preserve">Other (Dealer)</t>
  </si>
  <si>
    <t xml:space="preserve">Malaysia</t>
  </si>
  <si>
    <t xml:space="preserve">Malay</t>
  </si>
  <si>
    <t xml:space="preserve">Parts Department</t>
  </si>
  <si>
    <t xml:space="preserve">Chile Easter Island</t>
  </si>
  <si>
    <t xml:space="preserve">Mexico</t>
  </si>
  <si>
    <t xml:space="preserve">Parts Manager</t>
  </si>
  <si>
    <t xml:space="preserve">Chile Magallanes</t>
  </si>
  <si>
    <t xml:space="preserve">Morocco</t>
  </si>
  <si>
    <t xml:space="preserve">Parts Specialist</t>
  </si>
  <si>
    <t xml:space="preserve">Central Time (Dallas)</t>
  </si>
  <si>
    <t xml:space="preserve">Netherlands</t>
  </si>
  <si>
    <t xml:space="preserve">Dutch</t>
  </si>
  <si>
    <t xml:space="preserve">Remarketing SME</t>
  </si>
  <si>
    <t xml:space="preserve">Central Time North America</t>
  </si>
  <si>
    <t xml:space="preserve">New Zealand</t>
  </si>
  <si>
    <t xml:space="preserve">Rental Department</t>
  </si>
  <si>
    <t xml:space="preserve">Central Time No DST</t>
  </si>
  <si>
    <t xml:space="preserve">Nicaragua</t>
  </si>
  <si>
    <t xml:space="preserve">Rental Fleet Manager</t>
  </si>
  <si>
    <t xml:space="preserve">Cyprus</t>
  </si>
  <si>
    <t xml:space="preserve">Panama</t>
  </si>
  <si>
    <t xml:space="preserve">Road Service Technician</t>
  </si>
  <si>
    <t xml:space="preserve">Eastern Europe</t>
  </si>
  <si>
    <t xml:space="preserve">Paraguay</t>
  </si>
  <si>
    <t xml:space="preserve">Sales Coordinator</t>
  </si>
  <si>
    <t xml:space="preserve">Peru</t>
  </si>
  <si>
    <t xml:space="preserve">Sales Department</t>
  </si>
  <si>
    <t xml:space="preserve">Eastern Time (New York)</t>
  </si>
  <si>
    <t xml:space="preserve">Philippines</t>
  </si>
  <si>
    <t xml:space="preserve">Sales Lead Contact</t>
  </si>
  <si>
    <t xml:space="preserve">Eastern Time (Montréal)</t>
  </si>
  <si>
    <t xml:space="preserve">Poland</t>
  </si>
  <si>
    <t xml:space="preserve">Polish</t>
  </si>
  <si>
    <t xml:space="preserve">Sales Manager</t>
  </si>
  <si>
    <t xml:space="preserve">Eastern Time North America</t>
  </si>
  <si>
    <t xml:space="preserve">Portugal</t>
  </si>
  <si>
    <t xml:space="preserve">Sales Specialist</t>
  </si>
  <si>
    <t xml:space="preserve">Eastern Time (Indianapolis)</t>
  </si>
  <si>
    <t xml:space="preserve">Puerto Rico</t>
  </si>
  <si>
    <t xml:space="preserve">Service Contract Leader</t>
  </si>
  <si>
    <t xml:space="preserve">Falkland Island</t>
  </si>
  <si>
    <t xml:space="preserve">Russia</t>
  </si>
  <si>
    <t xml:space="preserve">Russian</t>
  </si>
  <si>
    <t xml:space="preserve">Service Department</t>
  </si>
  <si>
    <t xml:space="preserve">Greenwich UK with DST</t>
  </si>
  <si>
    <t xml:space="preserve">Saudi Arabia</t>
  </si>
  <si>
    <t xml:space="preserve">Service Manager</t>
  </si>
  <si>
    <t xml:space="preserve">Greenland</t>
  </si>
  <si>
    <t xml:space="preserve">Singapore</t>
  </si>
  <si>
    <t xml:space="preserve">Service Specialist</t>
  </si>
  <si>
    <t xml:space="preserve">Eastern Greenland</t>
  </si>
  <si>
    <t xml:space="preserve">South Africa</t>
  </si>
  <si>
    <t xml:space="preserve">Service Technician</t>
  </si>
  <si>
    <t xml:space="preserve">Western Greenland</t>
  </si>
  <si>
    <t xml:space="preserve">Spain</t>
  </si>
  <si>
    <t xml:space="preserve">Service technician</t>
  </si>
  <si>
    <t xml:space="preserve">Hawaii</t>
  </si>
  <si>
    <t xml:space="preserve">Thailand</t>
  </si>
  <si>
    <t xml:space="preserve">Thai</t>
  </si>
  <si>
    <t xml:space="preserve">Service Trainer</t>
  </si>
  <si>
    <t xml:space="preserve">Turkey</t>
  </si>
  <si>
    <t xml:space="preserve">Turkish</t>
  </si>
  <si>
    <t xml:space="preserve">Service Writer</t>
  </si>
  <si>
    <t xml:space="preserve">Iran</t>
  </si>
  <si>
    <t xml:space="preserve">United Arab Emirates</t>
  </si>
  <si>
    <t xml:space="preserve">Telematics Administrator</t>
  </si>
  <si>
    <t xml:space="preserve">Iraq</t>
  </si>
  <si>
    <t xml:space="preserve">United Kingdom</t>
  </si>
  <si>
    <t xml:space="preserve">Warranty</t>
  </si>
  <si>
    <t xml:space="preserve">Israel</t>
  </si>
  <si>
    <t xml:space="preserve">United States</t>
  </si>
  <si>
    <t xml:space="preserve">Warranty Manager</t>
  </si>
  <si>
    <t xml:space="preserve">Uruguay</t>
  </si>
  <si>
    <t xml:space="preserve">Jordan</t>
  </si>
  <si>
    <t xml:space="preserve">Venezuela</t>
  </si>
  <si>
    <t xml:space="preserve">Lebanon</t>
  </si>
  <si>
    <t xml:space="preserve">Vietnam</t>
  </si>
  <si>
    <t xml:space="preserve">Vietnamese</t>
  </si>
  <si>
    <t xml:space="preserve">Mauritius</t>
  </si>
  <si>
    <t xml:space="preserve">Moldova</t>
  </si>
  <si>
    <t xml:space="preserve">Mountain Time (Denver)</t>
  </si>
  <si>
    <t xml:space="preserve">Mountain Time North America</t>
  </si>
  <si>
    <t xml:space="preserve">Mountain Time (Phoenix)</t>
  </si>
  <si>
    <t xml:space="preserve">Namibia</t>
  </si>
  <si>
    <t xml:space="preserve">Nepal</t>
  </si>
  <si>
    <t xml:space="preserve">Newfoundland</t>
  </si>
  <si>
    <t xml:space="preserve">New Zealand Chatham Islands</t>
  </si>
  <si>
    <t xml:space="preserve">St. Pierre and Miquelon</t>
  </si>
  <si>
    <t xml:space="preserve">Pakistan</t>
  </si>
  <si>
    <t xml:space="preserve">Pacific Time (Los Angeles)</t>
  </si>
  <si>
    <t xml:space="preserve">Pacific Time North America</t>
  </si>
  <si>
    <t xml:space="preserve">Russia MSK-01</t>
  </si>
  <si>
    <t xml:space="preserve">England, Ireland, Scotland</t>
  </si>
  <si>
    <t xml:space="preserve">Western Africa</t>
  </si>
  <si>
    <t xml:space="preserve">Walldorf Time</t>
  </si>
  <si>
    <t xml:space="preserve">Western Europe</t>
  </si>
  <si>
    <t xml:space="preserve">Country-Language mapping is based on each country's official language.</t>
  </si>
  <si>
    <t xml:space="preserve">Verify the language wording matches the values selectable in DealerNET before use.</t>
  </si>
  <si>
    <t xml:space="preserve">To add a country, keep filling columns A and B (rows up to 200 are recognized).</t>
  </si>
  <si>
    <t xml:space="preserve">Primary Business Function list is exactly the 46 items provided by the user (numbering removed).</t>
  </si>
  <si>
    <t xml:space="preserve">Time Zone list contains the values provided by the user; add more in column F if needed.</t>
  </si>
  <si>
    <t xml:space="preserve">No</t>
  </si>
  <si>
    <t xml:space="preserve">Field</t>
  </si>
  <si>
    <t xml:space="preserve">Type</t>
  </si>
  <si>
    <t xml:space="preserve">Note</t>
  </si>
  <si>
    <t xml:space="preserve">Auto</t>
  </si>
  <si>
    <t xml:space="preserve">Auto-filled from Email. Run ID Check on the screen for duplicates</t>
  </si>
  <si>
    <t xml:space="preserve">Input</t>
  </si>
  <si>
    <t xml:space="preserve">Free format, e.g. +61 010 1234 5678</t>
  </si>
  <si>
    <t xml:space="preserve">Auto: digits only, no + or spaces. Screen accepts numbers only</t>
  </si>
  <si>
    <t xml:space="preserve">User confirmation letter is sent to this address when the account is created</t>
  </si>
  <si>
    <t xml:space="preserve">Screen default is YES</t>
  </si>
  <si>
    <t xml:space="preserve">Dropdown, list in the Lists sheet column F</t>
  </si>
  <si>
    <t xml:space="preserve">Search and select the dealer</t>
  </si>
  <si>
    <t xml:space="preserve">[Excluded] Fields without a red asterisk on the screen</t>
  </si>
  <si>
    <t xml:space="preserve">Status</t>
  </si>
  <si>
    <t xml:space="preserve">Middle Name</t>
  </si>
  <si>
    <t xml:space="preserve">Title</t>
  </si>
  <si>
    <t xml:space="preserve">Career</t>
  </si>
  <si>
    <t xml:space="preserve">State</t>
  </si>
  <si>
    <t xml:space="preserve">Telephone</t>
  </si>
  <si>
    <t xml:space="preserve">Fax</t>
  </si>
  <si>
    <t xml:space="preserve">Secondary Business Function</t>
  </si>
  <si>
    <t xml:space="preserve">Admin Status</t>
  </si>
  <si>
    <t xml:space="preserve">Administrator of Dealer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</si>
</sst>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CA3A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8" min="6" style="0" width="18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tr">
        <f aca="false">IF($I5="","",$I5)</f>
        <v/>
      </c>
      <c r="B5" s="4" t="str">
        <f aca="false">IF($D5="","",IF(ISERROR(FIND(" ",$D5)),"",TRIM(RIGHT(SUBSTITUTE(TRIM($D5)," ",REPT(" ",100)),100))))</f>
        <v/>
      </c>
      <c r="C5" s="4" t="str">
        <f aca="false">IF($D5="","",TRIM(LEFT(TRIM($D5),FIND(" ",TRIM($D5)&amp;" ")-1)))</f>
        <v/>
      </c>
      <c r="D5" s="5"/>
      <c r="E5" s="4" t="str">
        <f aca="false">IF($D5="","",$D5)</f>
        <v/>
      </c>
      <c r="F5" s="5"/>
      <c r="G5" s="6"/>
      <c r="H5" s="7" t="str">
        <f aca="false">IF($G5="","",SUBSTITUTE(SUBSTITUTE(SUBSTITUTE(SUBSTITUTE(SUBSTITUTE(SUBSTITUTE(SUBSTITUTE(TRIM($G5),"+",""),"-","")," ",""),"(",""),")",""),".",""),"/",""))</f>
        <v/>
      </c>
      <c r="I5" s="5"/>
      <c r="J5" s="5"/>
      <c r="K5" s="5"/>
      <c r="L5" s="4" t="str">
        <f aca="false">IF($F5="","",IFERROR(INDEX(Lists!$B$2:$B$200,MATCH($F5,Lists!$A$2:$A$200,0)),"Add to Lists"))</f>
        <v/>
      </c>
      <c r="M5" s="5"/>
      <c r="N5" s="5"/>
    </row>
    <row r="6" customFormat="false" ht="15" hidden="false" customHeight="false" outlineLevel="0" collapsed="false">
      <c r="A6" s="4" t="str">
        <f aca="false">IF($I6="","",$I6)</f>
        <v/>
      </c>
      <c r="B6" s="4" t="str">
        <f aca="false">IF($D6="","",IF(ISERROR(FIND(" ",$D6)),"",TRIM(RIGHT(SUBSTITUTE(TRIM($D6)," ",REPT(" ",100)),100))))</f>
        <v/>
      </c>
      <c r="C6" s="4" t="str">
        <f aca="false">IF($D6="","",TRIM(LEFT(TRIM($D6),FIND(" ",TRIM($D6)&amp;" ")-1)))</f>
        <v/>
      </c>
      <c r="D6" s="5"/>
      <c r="E6" s="4" t="str">
        <f aca="false">IF($D6="","",$D6)</f>
        <v/>
      </c>
      <c r="F6" s="5"/>
      <c r="G6" s="6"/>
      <c r="H6" s="7" t="str">
        <f aca="false">IF($G6="","",SUBSTITUTE(SUBSTITUTE(SUBSTITUTE(SUBSTITUTE(SUBSTITUTE(SUBSTITUTE(SUBSTITUTE(TRIM($G6),"+",""),"-","")," ",""),"(",""),")",""),".",""),"/",""))</f>
        <v/>
      </c>
      <c r="I6" s="5"/>
      <c r="J6" s="5"/>
      <c r="K6" s="5"/>
      <c r="L6" s="4" t="str">
        <f aca="false">IF($F6="","",IFERROR(INDEX(Lists!$B$2:$B$200,MATCH($F6,Lists!$A$2:$A$200,0)),"Add to Lists"))</f>
        <v/>
      </c>
      <c r="M6" s="5"/>
      <c r="N6" s="5"/>
    </row>
    <row r="7" customFormat="false" ht="15" hidden="false" customHeight="false" outlineLevel="0" collapsed="false">
      <c r="A7" s="4" t="str">
        <f aca="false">IF($I7="","",$I7)</f>
        <v/>
      </c>
      <c r="B7" s="4" t="str">
        <f aca="false">IF($D7="","",IF(ISERROR(FIND(" ",$D7)),"",TRIM(RIGHT(SUBSTITUTE(TRIM($D7)," ",REPT(" ",100)),100))))</f>
        <v/>
      </c>
      <c r="C7" s="4" t="str">
        <f aca="false">IF($D7="","",TRIM(LEFT(TRIM($D7),FIND(" ",TRIM($D7)&amp;" ")-1)))</f>
        <v/>
      </c>
      <c r="D7" s="5"/>
      <c r="E7" s="4" t="str">
        <f aca="false">IF($D7="","",$D7)</f>
        <v/>
      </c>
      <c r="F7" s="5"/>
      <c r="G7" s="6"/>
      <c r="H7" s="7" t="str">
        <f aca="false">IF($G7="","",SUBSTITUTE(SUBSTITUTE(SUBSTITUTE(SUBSTITUTE(SUBSTITUTE(SUBSTITUTE(SUBSTITUTE(TRIM($G7),"+",""),"-","")," ",""),"(",""),")",""),".",""),"/",""))</f>
        <v/>
      </c>
      <c r="I7" s="5"/>
      <c r="J7" s="5"/>
      <c r="K7" s="5"/>
      <c r="L7" s="4" t="str">
        <f aca="false">IF($F7="","",IFERROR(INDEX(Lists!$B$2:$B$200,MATCH($F7,Lists!$A$2:$A$200,0)),"Add to Lists"))</f>
        <v/>
      </c>
      <c r="M7" s="5"/>
      <c r="N7" s="5"/>
    </row>
    <row r="8" customFormat="false" ht="15" hidden="false" customHeight="false" outlineLevel="0" collapsed="false">
      <c r="A8" s="4" t="str">
        <f aca="false">IF($I8="","",$I8)</f>
        <v/>
      </c>
      <c r="B8" s="4" t="str">
        <f aca="false">IF($D8="","",IF(ISERROR(FIND(" ",$D8)),"",TRIM(RIGHT(SUBSTITUTE(TRIM($D8)," ",REPT(" ",100)),100))))</f>
        <v/>
      </c>
      <c r="C8" s="4" t="str">
        <f aca="false">IF($D8="","",TRIM(LEFT(TRIM($D8),FIND(" ",TRIM($D8)&amp;" ")-1)))</f>
        <v/>
      </c>
      <c r="D8" s="5"/>
      <c r="E8" s="4" t="str">
        <f aca="false">IF($D8="","",$D8)</f>
        <v/>
      </c>
      <c r="F8" s="5"/>
      <c r="G8" s="6"/>
      <c r="H8" s="7" t="str">
        <f aca="false">IF($G8="","",SUBSTITUTE(SUBSTITUTE(SUBSTITUTE(SUBSTITUTE(SUBSTITUTE(SUBSTITUTE(SUBSTITUTE(TRIM($G8),"+",""),"-","")," ",""),"(",""),")",""),".",""),"/",""))</f>
        <v/>
      </c>
      <c r="I8" s="5"/>
      <c r="J8" s="5"/>
      <c r="K8" s="5"/>
      <c r="L8" s="4" t="str">
        <f aca="false">IF($F8="","",IFERROR(INDEX(Lists!$B$2:$B$200,MATCH($F8,Lists!$A$2:$A$200,0)),"Add to Lists"))</f>
        <v/>
      </c>
      <c r="M8" s="5"/>
      <c r="N8" s="5"/>
    </row>
    <row r="9" customFormat="false" ht="15" hidden="false" customHeight="false" outlineLevel="0" collapsed="false">
      <c r="A9" s="4" t="str">
        <f aca="false">IF($I9="","",$I9)</f>
        <v/>
      </c>
      <c r="B9" s="4" t="str">
        <f aca="false">IF($D9="","",IF(ISERROR(FIND(" ",$D9)),"",TRIM(RIGHT(SUBSTITUTE(TRIM($D9)," ",REPT(" ",100)),100))))</f>
        <v/>
      </c>
      <c r="C9" s="4" t="str">
        <f aca="false">IF($D9="","",TRIM(LEFT(TRIM($D9),FIND(" ",TRIM($D9)&amp;" ")-1)))</f>
        <v/>
      </c>
      <c r="D9" s="5"/>
      <c r="E9" s="4" t="str">
        <f aca="false">IF($D9="","",$D9)</f>
        <v/>
      </c>
      <c r="F9" s="5"/>
      <c r="G9" s="6"/>
      <c r="H9" s="7" t="str">
        <f aca="false">IF($G9="","",SUBSTITUTE(SUBSTITUTE(SUBSTITUTE(SUBSTITUTE(SUBSTITUTE(SUBSTITUTE(SUBSTITUTE(TRIM($G9),"+",""),"-","")," ",""),"(",""),")",""),".",""),"/",""))</f>
        <v/>
      </c>
      <c r="I9" s="5"/>
      <c r="J9" s="5"/>
      <c r="K9" s="5"/>
      <c r="L9" s="4" t="str">
        <f aca="false">IF($F9="","",IFERROR(INDEX(Lists!$B$2:$B$200,MATCH($F9,Lists!$A$2:$A$200,0)),"Add to Lists"))</f>
        <v/>
      </c>
      <c r="M9" s="5"/>
      <c r="N9" s="5"/>
    </row>
    <row r="10" customFormat="false" ht="15" hidden="false" customHeight="false" outlineLevel="0" collapsed="false">
      <c r="A10" s="4" t="str">
        <f aca="false">IF($I10="","",$I10)</f>
        <v/>
      </c>
      <c r="B10" s="4" t="str">
        <f aca="false">IF($D10="","",IF(ISERROR(FIND(" ",$D10)),"",TRIM(RIGHT(SUBSTITUTE(TRIM($D10)," ",REPT(" ",100)),100))))</f>
        <v/>
      </c>
      <c r="C10" s="4" t="str">
        <f aca="false">IF($D10="","",TRIM(LEFT(TRIM($D10),FIND(" ",TRIM($D10)&amp;" ")-1)))</f>
        <v/>
      </c>
      <c r="D10" s="5"/>
      <c r="E10" s="4" t="str">
        <f aca="false">IF($D10="","",$D10)</f>
        <v/>
      </c>
      <c r="F10" s="5"/>
      <c r="G10" s="6"/>
      <c r="H10" s="7" t="str">
        <f aca="false">IF($G10="","",SUBSTITUTE(SUBSTITUTE(SUBSTITUTE(SUBSTITUTE(SUBSTITUTE(SUBSTITUTE(SUBSTITUTE(TRIM($G10),"+",""),"-","")," ",""),"(",""),")",""),".",""),"/",""))</f>
        <v/>
      </c>
      <c r="I10" s="5"/>
      <c r="J10" s="5"/>
      <c r="K10" s="5"/>
      <c r="L10" s="4" t="str">
        <f aca="false">IF($F10="","",IFERROR(INDEX(Lists!$B$2:$B$200,MATCH($F10,Lists!$A$2:$A$200,0)),"Add to Lists"))</f>
        <v/>
      </c>
      <c r="M10" s="5"/>
      <c r="N10" s="5"/>
    </row>
    <row r="11" customFormat="false" ht="15" hidden="false" customHeight="false" outlineLevel="0" collapsed="false">
      <c r="A11" s="4" t="str">
        <f aca="false">IF($I11="","",$I11)</f>
        <v/>
      </c>
      <c r="B11" s="4" t="str">
        <f aca="false">IF($D11="","",IF(ISERROR(FIND(" ",$D11)),"",TRIM(RIGHT(SUBSTITUTE(TRIM($D11)," ",REPT(" ",100)),100))))</f>
        <v/>
      </c>
      <c r="C11" s="4" t="str">
        <f aca="false">IF($D11="","",TRIM(LEFT(TRIM($D11),FIND(" ",TRIM($D11)&amp;" ")-1)))</f>
        <v/>
      </c>
      <c r="D11" s="5"/>
      <c r="E11" s="4" t="str">
        <f aca="false">IF($D11="","",$D11)</f>
        <v/>
      </c>
      <c r="F11" s="5"/>
      <c r="G11" s="6"/>
      <c r="H11" s="7" t="str">
        <f aca="false">IF($G11="","",SUBSTITUTE(SUBSTITUTE(SUBSTITUTE(SUBSTITUTE(SUBSTITUTE(SUBSTITUTE(SUBSTITUTE(TRIM($G11),"+",""),"-","")," ",""),"(",""),")",""),".",""),"/",""))</f>
        <v/>
      </c>
      <c r="I11" s="5"/>
      <c r="J11" s="5"/>
      <c r="K11" s="5"/>
      <c r="L11" s="4" t="str">
        <f aca="false">IF($F11="","",IFERROR(INDEX(Lists!$B$2:$B$200,MATCH($F11,Lists!$A$2:$A$200,0)),"Add to Lists"))</f>
        <v/>
      </c>
      <c r="M11" s="5"/>
      <c r="N11" s="5"/>
    </row>
    <row r="12" customFormat="false" ht="15" hidden="false" customHeight="false" outlineLevel="0" collapsed="false">
      <c r="A12" s="4" t="str">
        <f aca="false">IF($I12="","",$I12)</f>
        <v/>
      </c>
      <c r="B12" s="4" t="str">
        <f aca="false">IF($D12="","",IF(ISERROR(FIND(" ",$D12)),"",TRIM(RIGHT(SUBSTITUTE(TRIM($D12)," ",REPT(" ",100)),100))))</f>
        <v/>
      </c>
      <c r="C12" s="4" t="str">
        <f aca="false">IF($D12="","",TRIM(LEFT(TRIM($D12),FIND(" ",TRIM($D12)&amp;" ")-1)))</f>
        <v/>
      </c>
      <c r="D12" s="5"/>
      <c r="E12" s="4" t="str">
        <f aca="false">IF($D12="","",$D12)</f>
        <v/>
      </c>
      <c r="F12" s="5"/>
      <c r="G12" s="6"/>
      <c r="H12" s="7" t="str">
        <f aca="false">IF($G12="","",SUBSTITUTE(SUBSTITUTE(SUBSTITUTE(SUBSTITUTE(SUBSTITUTE(SUBSTITUTE(SUBSTITUTE(TRIM($G12),"+",""),"-","")," ",""),"(",""),")",""),".",""),"/",""))</f>
        <v/>
      </c>
      <c r="I12" s="5"/>
      <c r="J12" s="5"/>
      <c r="K12" s="5"/>
      <c r="L12" s="4" t="str">
        <f aca="false">IF($F12="","",IFERROR(INDEX(Lists!$B$2:$B$200,MATCH($F12,Lists!$A$2:$A$200,0)),"Add to Lists"))</f>
        <v/>
      </c>
      <c r="M12" s="5"/>
      <c r="N12" s="5"/>
    </row>
    <row r="13" customFormat="false" ht="15" hidden="false" customHeight="false" outlineLevel="0" collapsed="false">
      <c r="A13" s="4" t="str">
        <f aca="false">IF($I13="","",$I13)</f>
        <v/>
      </c>
      <c r="B13" s="4" t="str">
        <f aca="false">IF($D13="","",IF(ISERROR(FIND(" ",$D13)),"",TRIM(RIGHT(SUBSTITUTE(TRIM($D13)," ",REPT(" ",100)),100))))</f>
        <v/>
      </c>
      <c r="C13" s="4" t="str">
        <f aca="false">IF($D13="","",TRIM(LEFT(TRIM($D13),FIND(" ",TRIM($D13)&amp;" ")-1)))</f>
        <v/>
      </c>
      <c r="D13" s="5"/>
      <c r="E13" s="4" t="str">
        <f aca="false">IF($D13="","",$D13)</f>
        <v/>
      </c>
      <c r="F13" s="5"/>
      <c r="G13" s="6"/>
      <c r="H13" s="7" t="str">
        <f aca="false">IF($G13="","",SUBSTITUTE(SUBSTITUTE(SUBSTITUTE(SUBSTITUTE(SUBSTITUTE(SUBSTITUTE(SUBSTITUTE(TRIM($G13),"+",""),"-","")," ",""),"(",""),")",""),".",""),"/",""))</f>
        <v/>
      </c>
      <c r="I13" s="5"/>
      <c r="J13" s="5"/>
      <c r="K13" s="5"/>
      <c r="L13" s="4" t="str">
        <f aca="false">IF($F13="","",IFERROR(INDEX(Lists!$B$2:$B$200,MATCH($F13,Lists!$A$2:$A$200,0)),"Add to Lists"))</f>
        <v/>
      </c>
      <c r="M13" s="5"/>
      <c r="N13" s="5"/>
    </row>
    <row r="14" customFormat="false" ht="15" hidden="false" customHeight="false" outlineLevel="0" collapsed="false">
      <c r="A14" s="4" t="str">
        <f aca="false">IF($I14="","",$I14)</f>
        <v/>
      </c>
      <c r="B14" s="4" t="str">
        <f aca="false">IF($D14="","",IF(ISERROR(FIND(" ",$D14)),"",TRIM(RIGHT(SUBSTITUTE(TRIM($D14)," ",REPT(" ",100)),100))))</f>
        <v/>
      </c>
      <c r="C14" s="4" t="str">
        <f aca="false">IF($D14="","",TRIM(LEFT(TRIM($D14),FIND(" ",TRIM($D14)&amp;" ")-1)))</f>
        <v/>
      </c>
      <c r="D14" s="5"/>
      <c r="E14" s="4" t="str">
        <f aca="false">IF($D14="","",$D14)</f>
        <v/>
      </c>
      <c r="F14" s="5"/>
      <c r="G14" s="6"/>
      <c r="H14" s="7" t="str">
        <f aca="false">IF($G14="","",SUBSTITUTE(SUBSTITUTE(SUBSTITUTE(SUBSTITUTE(SUBSTITUTE(SUBSTITUTE(SUBSTITUTE(TRIM($G14),"+",""),"-","")," ",""),"(",""),")",""),".",""),"/",""))</f>
        <v/>
      </c>
      <c r="I14" s="5"/>
      <c r="J14" s="5"/>
      <c r="K14" s="5"/>
      <c r="L14" s="4" t="str">
        <f aca="false">IF($F14="","",IFERROR(INDEX(Lists!$B$2:$B$200,MATCH($F14,Lists!$A$2:$A$200,0)),"Add to Lists"))</f>
        <v/>
      </c>
      <c r="M14" s="5"/>
      <c r="N14" s="5"/>
    </row>
    <row r="15" customFormat="false" ht="15" hidden="false" customHeight="false" outlineLevel="0" collapsed="false">
      <c r="A15" s="4" t="str">
        <f aca="false">IF($I15="","",$I15)</f>
        <v/>
      </c>
      <c r="B15" s="4" t="str">
        <f aca="false">IF($D15="","",IF(ISERROR(FIND(" ",$D15)),"",TRIM(RIGHT(SUBSTITUTE(TRIM($D15)," ",REPT(" ",100)),100))))</f>
        <v/>
      </c>
      <c r="C15" s="4" t="str">
        <f aca="false">IF($D15="","",TRIM(LEFT(TRIM($D15),FIND(" ",TRIM($D15)&amp;" ")-1)))</f>
        <v/>
      </c>
      <c r="D15" s="5"/>
      <c r="E15" s="4" t="str">
        <f aca="false">IF($D15="","",$D15)</f>
        <v/>
      </c>
      <c r="F15" s="5"/>
      <c r="G15" s="6"/>
      <c r="H15" s="7" t="str">
        <f aca="false">IF($G15="","",SUBSTITUTE(SUBSTITUTE(SUBSTITUTE(SUBSTITUTE(SUBSTITUTE(SUBSTITUTE(SUBSTITUTE(TRIM($G15),"+",""),"-","")," ",""),"(",""),")",""),".",""),"/",""))</f>
        <v/>
      </c>
      <c r="I15" s="5"/>
      <c r="J15" s="5"/>
      <c r="K15" s="5"/>
      <c r="L15" s="4" t="str">
        <f aca="false">IF($F15="","",IFERROR(INDEX(Lists!$B$2:$B$200,MATCH($F15,Lists!$A$2:$A$200,0)),"Add to Lists"))</f>
        <v/>
      </c>
      <c r="M15" s="5"/>
      <c r="N15" s="5"/>
    </row>
    <row r="16" customFormat="false" ht="15" hidden="false" customHeight="false" outlineLevel="0" collapsed="false">
      <c r="A16" s="4" t="str">
        <f aca="false">IF($I16="","",$I16)</f>
        <v/>
      </c>
      <c r="B16" s="4" t="str">
        <f aca="false">IF($D16="","",IF(ISERROR(FIND(" ",$D16)),"",TRIM(RIGHT(SUBSTITUTE(TRIM($D16)," ",REPT(" ",100)),100))))</f>
        <v/>
      </c>
      <c r="C16" s="4" t="str">
        <f aca="false">IF($D16="","",TRIM(LEFT(TRIM($D16),FIND(" ",TRIM($D16)&amp;" ")-1)))</f>
        <v/>
      </c>
      <c r="D16" s="5"/>
      <c r="E16" s="4" t="str">
        <f aca="false">IF($D16="","",$D16)</f>
        <v/>
      </c>
      <c r="F16" s="5"/>
      <c r="G16" s="6"/>
      <c r="H16" s="7" t="str">
        <f aca="false">IF($G16="","",SUBSTITUTE(SUBSTITUTE(SUBSTITUTE(SUBSTITUTE(SUBSTITUTE(SUBSTITUTE(SUBSTITUTE(TRIM($G16),"+",""),"-","")," ",""),"(",""),")",""),".",""),"/",""))</f>
        <v/>
      </c>
      <c r="I16" s="5"/>
      <c r="J16" s="5"/>
      <c r="K16" s="5"/>
      <c r="L16" s="4" t="str">
        <f aca="false">IF($F16="","",IFERROR(INDEX(Lists!$B$2:$B$200,MATCH($F16,Lists!$A$2:$A$200,0)),"Add to Lists"))</f>
        <v/>
      </c>
      <c r="M16" s="5"/>
      <c r="N16" s="5"/>
    </row>
    <row r="17" customFormat="false" ht="15" hidden="false" customHeight="false" outlineLevel="0" collapsed="false">
      <c r="A17" s="4" t="str">
        <f aca="false">IF($I17="","",$I17)</f>
        <v/>
      </c>
      <c r="B17" s="4" t="str">
        <f aca="false">IF($D17="","",IF(ISERROR(FIND(" ",$D17)),"",TRIM(RIGHT(SUBSTITUTE(TRIM($D17)," ",REPT(" ",100)),100))))</f>
        <v/>
      </c>
      <c r="C17" s="4" t="str">
        <f aca="false">IF($D17="","",TRIM(LEFT(TRIM($D17),FIND(" ",TRIM($D17)&amp;" ")-1)))</f>
        <v/>
      </c>
      <c r="D17" s="5"/>
      <c r="E17" s="4" t="str">
        <f aca="false">IF($D17="","",$D17)</f>
        <v/>
      </c>
      <c r="F17" s="5"/>
      <c r="G17" s="6"/>
      <c r="H17" s="7" t="str">
        <f aca="false">IF($G17="","",SUBSTITUTE(SUBSTITUTE(SUBSTITUTE(SUBSTITUTE(SUBSTITUTE(SUBSTITUTE(SUBSTITUTE(TRIM($G17),"+",""),"-","")," ",""),"(",""),")",""),".",""),"/",""))</f>
        <v/>
      </c>
      <c r="I17" s="5"/>
      <c r="J17" s="5"/>
      <c r="K17" s="5"/>
      <c r="L17" s="4" t="str">
        <f aca="false">IF($F17="","",IFERROR(INDEX(Lists!$B$2:$B$200,MATCH($F17,Lists!$A$2:$A$200,0)),"Add to Lists"))</f>
        <v/>
      </c>
      <c r="M17" s="5"/>
      <c r="N17" s="5"/>
    </row>
    <row r="18" customFormat="false" ht="15" hidden="false" customHeight="false" outlineLevel="0" collapsed="false">
      <c r="A18" s="4" t="str">
        <f aca="false">IF($I18="","",$I18)</f>
        <v/>
      </c>
      <c r="B18" s="4" t="str">
        <f aca="false">IF($D18="","",IF(ISERROR(FIND(" ",$D18)),"",TRIM(RIGHT(SUBSTITUTE(TRIM($D18)," ",REPT(" ",100)),100))))</f>
        <v/>
      </c>
      <c r="C18" s="4" t="str">
        <f aca="false">IF($D18="","",TRIM(LEFT(TRIM($D18),FIND(" ",TRIM($D18)&amp;" ")-1)))</f>
        <v/>
      </c>
      <c r="D18" s="5"/>
      <c r="E18" s="4" t="str">
        <f aca="false">IF($D18="","",$D18)</f>
        <v/>
      </c>
      <c r="F18" s="5"/>
      <c r="G18" s="6"/>
      <c r="H18" s="7" t="str">
        <f aca="false">IF($G18="","",SUBSTITUTE(SUBSTITUTE(SUBSTITUTE(SUBSTITUTE(SUBSTITUTE(SUBSTITUTE(SUBSTITUTE(TRIM($G18),"+",""),"-","")," ",""),"(",""),")",""),".",""),"/",""))</f>
        <v/>
      </c>
      <c r="I18" s="5"/>
      <c r="J18" s="5"/>
      <c r="K18" s="5"/>
      <c r="L18" s="4" t="str">
        <f aca="false">IF($F18="","",IFERROR(INDEX(Lists!$B$2:$B$200,MATCH($F18,Lists!$A$2:$A$200,0)),"Add to Lists"))</f>
        <v/>
      </c>
      <c r="M18" s="5"/>
      <c r="N18" s="5"/>
    </row>
    <row r="19" customFormat="false" ht="15" hidden="false" customHeight="false" outlineLevel="0" collapsed="false">
      <c r="A19" s="4" t="str">
        <f aca="false">IF($I19="","",$I19)</f>
        <v/>
      </c>
      <c r="B19" s="4" t="str">
        <f aca="false">IF($D19="","",IF(ISERROR(FIND(" ",$D19)),"",TRIM(RIGHT(SUBSTITUTE(TRIM($D19)," ",REPT(" ",100)),100))))</f>
        <v/>
      </c>
      <c r="C19" s="4" t="str">
        <f aca="false">IF($D19="","",TRIM(LEFT(TRIM($D19),FIND(" ",TRIM($D19)&amp;" ")-1)))</f>
        <v/>
      </c>
      <c r="D19" s="5"/>
      <c r="E19" s="4" t="str">
        <f aca="false">IF($D19="","",$D19)</f>
        <v/>
      </c>
      <c r="F19" s="5"/>
      <c r="G19" s="6"/>
      <c r="H19" s="7" t="str">
        <f aca="false">IF($G19="","",SUBSTITUTE(SUBSTITUTE(SUBSTITUTE(SUBSTITUTE(SUBSTITUTE(SUBSTITUTE(SUBSTITUTE(TRIM($G19),"+",""),"-","")," ",""),"(",""),")",""),".",""),"/",""))</f>
        <v/>
      </c>
      <c r="I19" s="5"/>
      <c r="J19" s="5"/>
      <c r="K19" s="5"/>
      <c r="L19" s="4" t="str">
        <f aca="false">IF($F19="","",IFERROR(INDEX(Lists!$B$2:$B$200,MATCH($F19,Lists!$A$2:$A$200,0)),"Add to Lists"))</f>
        <v/>
      </c>
      <c r="M19" s="5"/>
      <c r="N19" s="5"/>
    </row>
    <row r="20" customFormat="false" ht="15" hidden="false" customHeight="false" outlineLevel="0" collapsed="false">
      <c r="A20" s="4" t="str">
        <f aca="false">IF($I20="","",$I20)</f>
        <v/>
      </c>
      <c r="B20" s="4" t="str">
        <f aca="false">IF($D20="","",IF(ISERROR(FIND(" ",$D20)),"",TRIM(RIGHT(SUBSTITUTE(TRIM($D20)," ",REPT(" ",100)),100))))</f>
        <v/>
      </c>
      <c r="C20" s="4" t="str">
        <f aca="false">IF($D20="","",TRIM(LEFT(TRIM($D20),FIND(" ",TRIM($D20)&amp;" ")-1)))</f>
        <v/>
      </c>
      <c r="D20" s="5"/>
      <c r="E20" s="4" t="str">
        <f aca="false">IF($D20="","",$D20)</f>
        <v/>
      </c>
      <c r="F20" s="5"/>
      <c r="G20" s="6"/>
      <c r="H20" s="7" t="str">
        <f aca="false">IF($G20="","",SUBSTITUTE(SUBSTITUTE(SUBSTITUTE(SUBSTITUTE(SUBSTITUTE(SUBSTITUTE(SUBSTITUTE(TRIM($G20),"+",""),"-","")," ",""),"(",""),")",""),".",""),"/",""))</f>
        <v/>
      </c>
      <c r="I20" s="5"/>
      <c r="J20" s="5"/>
      <c r="K20" s="5"/>
      <c r="L20" s="4" t="str">
        <f aca="false">IF($F20="","",IFERROR(INDEX(Lists!$B$2:$B$200,MATCH($F20,Lists!$A$2:$A$200,0)),"Add to Lists"))</f>
        <v/>
      </c>
      <c r="M20" s="5"/>
      <c r="N20" s="5"/>
    </row>
    <row r="21" customFormat="false" ht="15" hidden="false" customHeight="false" outlineLevel="0" collapsed="false">
      <c r="A21" s="4" t="str">
        <f aca="false">IF($I21="","",$I21)</f>
        <v/>
      </c>
      <c r="B21" s="4" t="str">
        <f aca="false">IF($D21="","",IF(ISERROR(FIND(" ",$D21)),"",TRIM(RIGHT(SUBSTITUTE(TRIM($D21)," ",REPT(" ",100)),100))))</f>
        <v/>
      </c>
      <c r="C21" s="4" t="str">
        <f aca="false">IF($D21="","",TRIM(LEFT(TRIM($D21),FIND(" ",TRIM($D21)&amp;" ")-1)))</f>
        <v/>
      </c>
      <c r="D21" s="5"/>
      <c r="E21" s="4" t="str">
        <f aca="false">IF($D21="","",$D21)</f>
        <v/>
      </c>
      <c r="F21" s="5"/>
      <c r="G21" s="6"/>
      <c r="H21" s="7" t="str">
        <f aca="false">IF($G21="","",SUBSTITUTE(SUBSTITUTE(SUBSTITUTE(SUBSTITUTE(SUBSTITUTE(SUBSTITUTE(SUBSTITUTE(TRIM($G21),"+",""),"-","")," ",""),"(",""),")",""),".",""),"/",""))</f>
        <v/>
      </c>
      <c r="I21" s="5"/>
      <c r="J21" s="5"/>
      <c r="K21" s="5"/>
      <c r="L21" s="4" t="str">
        <f aca="false">IF($F21="","",IFERROR(INDEX(Lists!$B$2:$B$200,MATCH($F21,Lists!$A$2:$A$200,0)),"Add to Lists"))</f>
        <v/>
      </c>
      <c r="M21" s="5"/>
      <c r="N21" s="5"/>
    </row>
    <row r="22" customFormat="false" ht="15" hidden="false" customHeight="false" outlineLevel="0" collapsed="false">
      <c r="A22" s="4" t="str">
        <f aca="false">IF($I22="","",$I22)</f>
        <v/>
      </c>
      <c r="B22" s="4" t="str">
        <f aca="false">IF($D22="","",IF(ISERROR(FIND(" ",$D22)),"",TRIM(RIGHT(SUBSTITUTE(TRIM($D22)," ",REPT(" ",100)),100))))</f>
        <v/>
      </c>
      <c r="C22" s="4" t="str">
        <f aca="false">IF($D22="","",TRIM(LEFT(TRIM($D22),FIND(" ",TRIM($D22)&amp;" ")-1)))</f>
        <v/>
      </c>
      <c r="D22" s="5"/>
      <c r="E22" s="4" t="str">
        <f aca="false">IF($D22="","",$D22)</f>
        <v/>
      </c>
      <c r="F22" s="5"/>
      <c r="G22" s="6"/>
      <c r="H22" s="7" t="str">
        <f aca="false">IF($G22="","",SUBSTITUTE(SUBSTITUTE(SUBSTITUTE(SUBSTITUTE(SUBSTITUTE(SUBSTITUTE(SUBSTITUTE(TRIM($G22),"+",""),"-","")," ",""),"(",""),")",""),".",""),"/",""))</f>
        <v/>
      </c>
      <c r="I22" s="5"/>
      <c r="J22" s="5"/>
      <c r="K22" s="5"/>
      <c r="L22" s="4" t="str">
        <f aca="false">IF($F22="","",IFERROR(INDEX(Lists!$B$2:$B$200,MATCH($F22,Lists!$A$2:$A$200,0)),"Add to Lists"))</f>
        <v/>
      </c>
      <c r="M22" s="5"/>
      <c r="N22" s="5"/>
    </row>
    <row r="23" customFormat="false" ht="15" hidden="false" customHeight="false" outlineLevel="0" collapsed="false">
      <c r="A23" s="4" t="str">
        <f aca="false">IF($I23="","",$I23)</f>
        <v/>
      </c>
      <c r="B23" s="4" t="str">
        <f aca="false">IF($D23="","",IF(ISERROR(FIND(" ",$D23)),"",TRIM(RIGHT(SUBSTITUTE(TRIM($D23)," ",REPT(" ",100)),100))))</f>
        <v/>
      </c>
      <c r="C23" s="4" t="str">
        <f aca="false">IF($D23="","",TRIM(LEFT(TRIM($D23),FIND(" ",TRIM($D23)&amp;" ")-1)))</f>
        <v/>
      </c>
      <c r="D23" s="5"/>
      <c r="E23" s="4" t="str">
        <f aca="false">IF($D23="","",$D23)</f>
        <v/>
      </c>
      <c r="F23" s="5"/>
      <c r="G23" s="6"/>
      <c r="H23" s="7" t="str">
        <f aca="false">IF($G23="","",SUBSTITUTE(SUBSTITUTE(SUBSTITUTE(SUBSTITUTE(SUBSTITUTE(SUBSTITUTE(SUBSTITUTE(TRIM($G23),"+",""),"-","")," ",""),"(",""),")",""),".",""),"/",""))</f>
        <v/>
      </c>
      <c r="I23" s="5"/>
      <c r="J23" s="5"/>
      <c r="K23" s="5"/>
      <c r="L23" s="4" t="str">
        <f aca="false">IF($F23="","",IFERROR(INDEX(Lists!$B$2:$B$200,MATCH($F23,Lists!$A$2:$A$200,0)),"Add to Lists"))</f>
        <v/>
      </c>
      <c r="M23" s="5"/>
      <c r="N23" s="5"/>
    </row>
    <row r="24" customFormat="false" ht="15" hidden="false" customHeight="false" outlineLevel="0" collapsed="false">
      <c r="A24" s="4" t="str">
        <f aca="false">IF($I24="","",$I24)</f>
        <v/>
      </c>
      <c r="B24" s="4" t="str">
        <f aca="false">IF($D24="","",IF(ISERROR(FIND(" ",$D24)),"",TRIM(RIGHT(SUBSTITUTE(TRIM($D24)," ",REPT(" ",100)),100))))</f>
        <v/>
      </c>
      <c r="C24" s="4" t="str">
        <f aca="false">IF($D24="","",TRIM(LEFT(TRIM($D24),FIND(" ",TRIM($D24)&amp;" ")-1)))</f>
        <v/>
      </c>
      <c r="D24" s="5"/>
      <c r="E24" s="4" t="str">
        <f aca="false">IF($D24="","",$D24)</f>
        <v/>
      </c>
      <c r="F24" s="5"/>
      <c r="G24" s="6"/>
      <c r="H24" s="7" t="str">
        <f aca="false">IF($G24="","",SUBSTITUTE(SUBSTITUTE(SUBSTITUTE(SUBSTITUTE(SUBSTITUTE(SUBSTITUTE(SUBSTITUTE(TRIM($G24),"+",""),"-","")," ",""),"(",""),")",""),".",""),"/",""))</f>
        <v/>
      </c>
      <c r="I24" s="5"/>
      <c r="J24" s="5"/>
      <c r="K24" s="5"/>
      <c r="L24" s="4" t="str">
        <f aca="false">IF($F24="","",IFERROR(INDEX(Lists!$B$2:$B$200,MATCH($F24,Lists!$A$2:$A$200,0)),"Add to Lists"))</f>
        <v/>
      </c>
      <c r="M24" s="5"/>
      <c r="N24" s="5"/>
    </row>
    <row r="25" customFormat="false" ht="15" hidden="false" customHeight="false" outlineLevel="0" collapsed="false">
      <c r="A25" s="4" t="str">
        <f aca="false">IF($I25="","",$I25)</f>
        <v/>
      </c>
      <c r="B25" s="4" t="str">
        <f aca="false">IF($D25="","",IF(ISERROR(FIND(" ",$D25)),"",TRIM(RIGHT(SUBSTITUTE(TRIM($D25)," ",REPT(" ",100)),100))))</f>
        <v/>
      </c>
      <c r="C25" s="4" t="str">
        <f aca="false">IF($D25="","",TRIM(LEFT(TRIM($D25),FIND(" ",TRIM($D25)&amp;" ")-1)))</f>
        <v/>
      </c>
      <c r="D25" s="5"/>
      <c r="E25" s="4" t="str">
        <f aca="false">IF($D25="","",$D25)</f>
        <v/>
      </c>
      <c r="F25" s="5"/>
      <c r="G25" s="6"/>
      <c r="H25" s="7" t="str">
        <f aca="false">IF($G25="","",SUBSTITUTE(SUBSTITUTE(SUBSTITUTE(SUBSTITUTE(SUBSTITUTE(SUBSTITUTE(SUBSTITUTE(TRIM($G25),"+",""),"-","")," ",""),"(",""),")",""),".",""),"/",""))</f>
        <v/>
      </c>
      <c r="I25" s="5"/>
      <c r="J25" s="5"/>
      <c r="K25" s="5"/>
      <c r="L25" s="4" t="str">
        <f aca="false">IF($F25="","",IFERROR(INDEX(Lists!$B$2:$B$200,MATCH($F25,Lists!$A$2:$A$200,0)),"Add to Lists"))</f>
        <v/>
      </c>
      <c r="M25" s="5"/>
      <c r="N25" s="5"/>
    </row>
    <row r="26" customFormat="false" ht="15" hidden="false" customHeight="false" outlineLevel="0" collapsed="false">
      <c r="A26" s="4" t="str">
        <f aca="false">IF($I26="","",$I26)</f>
        <v/>
      </c>
      <c r="B26" s="4" t="str">
        <f aca="false">IF($D26="","",IF(ISERROR(FIND(" ",$D26)),"",TRIM(RIGHT(SUBSTITUTE(TRIM($D26)," ",REPT(" ",100)),100))))</f>
        <v/>
      </c>
      <c r="C26" s="4" t="str">
        <f aca="false">IF($D26="","",TRIM(LEFT(TRIM($D26),FIND(" ",TRIM($D26)&amp;" ")-1)))</f>
        <v/>
      </c>
      <c r="D26" s="5"/>
      <c r="E26" s="4" t="str">
        <f aca="false">IF($D26="","",$D26)</f>
        <v/>
      </c>
      <c r="F26" s="5"/>
      <c r="G26" s="6"/>
      <c r="H26" s="7" t="str">
        <f aca="false">IF($G26="","",SUBSTITUTE(SUBSTITUTE(SUBSTITUTE(SUBSTITUTE(SUBSTITUTE(SUBSTITUTE(SUBSTITUTE(TRIM($G26),"+",""),"-","")," ",""),"(",""),")",""),".",""),"/",""))</f>
        <v/>
      </c>
      <c r="I26" s="5"/>
      <c r="J26" s="5"/>
      <c r="K26" s="5"/>
      <c r="L26" s="4" t="str">
        <f aca="false">IF($F26="","",IFERROR(INDEX(Lists!$B$2:$B$200,MATCH($F26,Lists!$A$2:$A$200,0)),"Add to Lists"))</f>
        <v/>
      </c>
      <c r="M26" s="5"/>
      <c r="N26" s="5"/>
    </row>
    <row r="27" customFormat="false" ht="15" hidden="false" customHeight="false" outlineLevel="0" collapsed="false">
      <c r="A27" s="4" t="str">
        <f aca="false">IF($I27="","",$I27)</f>
        <v/>
      </c>
      <c r="B27" s="4" t="str">
        <f aca="false">IF($D27="","",IF(ISERROR(FIND(" ",$D27)),"",TRIM(RIGHT(SUBSTITUTE(TRIM($D27)," ",REPT(" ",100)),100))))</f>
        <v/>
      </c>
      <c r="C27" s="4" t="str">
        <f aca="false">IF($D27="","",TRIM(LEFT(TRIM($D27),FIND(" ",TRIM($D27)&amp;" ")-1)))</f>
        <v/>
      </c>
      <c r="D27" s="5"/>
      <c r="E27" s="4" t="str">
        <f aca="false">IF($D27="","",$D27)</f>
        <v/>
      </c>
      <c r="F27" s="5"/>
      <c r="G27" s="6"/>
      <c r="H27" s="7" t="str">
        <f aca="false">IF($G27="","",SUBSTITUTE(SUBSTITUTE(SUBSTITUTE(SUBSTITUTE(SUBSTITUTE(SUBSTITUTE(SUBSTITUTE(TRIM($G27),"+",""),"-","")," ",""),"(",""),")",""),".",""),"/",""))</f>
        <v/>
      </c>
      <c r="I27" s="5"/>
      <c r="J27" s="5"/>
      <c r="K27" s="5"/>
      <c r="L27" s="4" t="str">
        <f aca="false">IF($F27="","",IFERROR(INDEX(Lists!$B$2:$B$200,MATCH($F27,Lists!$A$2:$A$200,0)),"Add to Lists"))</f>
        <v/>
      </c>
      <c r="M27" s="5"/>
      <c r="N27" s="5"/>
    </row>
    <row r="28" customFormat="false" ht="15" hidden="false" customHeight="false" outlineLevel="0" collapsed="false">
      <c r="A28" s="4" t="str">
        <f aca="false">IF($I28="","",$I28)</f>
        <v/>
      </c>
      <c r="B28" s="4" t="str">
        <f aca="false">IF($D28="","",IF(ISERROR(FIND(" ",$D28)),"",TRIM(RIGHT(SUBSTITUTE(TRIM($D28)," ",REPT(" ",100)),100))))</f>
        <v/>
      </c>
      <c r="C28" s="4" t="str">
        <f aca="false">IF($D28="","",TRIM(LEFT(TRIM($D28),FIND(" ",TRIM($D28)&amp;" ")-1)))</f>
        <v/>
      </c>
      <c r="D28" s="5"/>
      <c r="E28" s="4" t="str">
        <f aca="false">IF($D28="","",$D28)</f>
        <v/>
      </c>
      <c r="F28" s="5"/>
      <c r="G28" s="6"/>
      <c r="H28" s="7" t="str">
        <f aca="false">IF($G28="","",SUBSTITUTE(SUBSTITUTE(SUBSTITUTE(SUBSTITUTE(SUBSTITUTE(SUBSTITUTE(SUBSTITUTE(TRIM($G28),"+",""),"-","")," ",""),"(",""),")",""),".",""),"/",""))</f>
        <v/>
      </c>
      <c r="I28" s="5"/>
      <c r="J28" s="5"/>
      <c r="K28" s="5"/>
      <c r="L28" s="4" t="str">
        <f aca="false">IF($F28="","",IFERROR(INDEX(Lists!$B$2:$B$200,MATCH($F28,Lists!$A$2:$A$200,0)),"Add to Lists"))</f>
        <v/>
      </c>
      <c r="M28" s="5"/>
      <c r="N28" s="5"/>
    </row>
    <row r="29" customFormat="false" ht="15" hidden="false" customHeight="false" outlineLevel="0" collapsed="false">
      <c r="A29" s="4" t="str">
        <f aca="false">IF($I29="","",$I29)</f>
        <v/>
      </c>
      <c r="B29" s="4" t="str">
        <f aca="false">IF($D29="","",IF(ISERROR(FIND(" ",$D29)),"",TRIM(RIGHT(SUBSTITUTE(TRIM($D29)," ",REPT(" ",100)),100))))</f>
        <v/>
      </c>
      <c r="C29" s="4" t="str">
        <f aca="false">IF($D29="","",TRIM(LEFT(TRIM($D29),FIND(" ",TRIM($D29)&amp;" ")-1)))</f>
        <v/>
      </c>
      <c r="D29" s="5"/>
      <c r="E29" s="4" t="str">
        <f aca="false">IF($D29="","",$D29)</f>
        <v/>
      </c>
      <c r="F29" s="5"/>
      <c r="G29" s="6"/>
      <c r="H29" s="7" t="str">
        <f aca="false">IF($G29="","",SUBSTITUTE(SUBSTITUTE(SUBSTITUTE(SUBSTITUTE(SUBSTITUTE(SUBSTITUTE(SUBSTITUTE(TRIM($G29),"+",""),"-","")," ",""),"(",""),")",""),".",""),"/",""))</f>
        <v/>
      </c>
      <c r="I29" s="5"/>
      <c r="J29" s="5"/>
      <c r="K29" s="5"/>
      <c r="L29" s="4" t="str">
        <f aca="false">IF($F29="","",IFERROR(INDEX(Lists!$B$2:$B$200,MATCH($F29,Lists!$A$2:$A$200,0)),"Add to Lists"))</f>
        <v/>
      </c>
      <c r="M29" s="5"/>
      <c r="N29" s="5"/>
    </row>
    <row r="30" customFormat="false" ht="15" hidden="false" customHeight="false" outlineLevel="0" collapsed="false">
      <c r="A30" s="4" t="str">
        <f aca="false">IF($I30="","",$I30)</f>
        <v/>
      </c>
      <c r="B30" s="4" t="str">
        <f aca="false">IF($D30="","",IF(ISERROR(FIND(" ",$D30)),"",TRIM(RIGHT(SUBSTITUTE(TRIM($D30)," ",REPT(" ",100)),100))))</f>
        <v/>
      </c>
      <c r="C30" s="4" t="str">
        <f aca="false">IF($D30="","",TRIM(LEFT(TRIM($D30),FIND(" ",TRIM($D30)&amp;" ")-1)))</f>
        <v/>
      </c>
      <c r="D30" s="5"/>
      <c r="E30" s="4" t="str">
        <f aca="false">IF($D30="","",$D30)</f>
        <v/>
      </c>
      <c r="F30" s="5"/>
      <c r="G30" s="6"/>
      <c r="H30" s="7" t="str">
        <f aca="false">IF($G30="","",SUBSTITUTE(SUBSTITUTE(SUBSTITUTE(SUBSTITUTE(SUBSTITUTE(SUBSTITUTE(SUBSTITUTE(TRIM($G30),"+",""),"-","")," ",""),"(",""),")",""),".",""),"/",""))</f>
        <v/>
      </c>
      <c r="I30" s="5"/>
      <c r="J30" s="5"/>
      <c r="K30" s="5"/>
      <c r="L30" s="4" t="str">
        <f aca="false">IF($F30="","",IFERROR(INDEX(Lists!$B$2:$B$200,MATCH($F30,Lists!$A$2:$A$200,0)),"Add to Lists"))</f>
        <v/>
      </c>
      <c r="M30" s="5"/>
      <c r="N30" s="5"/>
    </row>
    <row r="31" customFormat="false" ht="15" hidden="false" customHeight="false" outlineLevel="0" collapsed="false">
      <c r="A31" s="4" t="str">
        <f aca="false">IF($I31="","",$I31)</f>
        <v/>
      </c>
      <c r="B31" s="4" t="str">
        <f aca="false">IF($D31="","",IF(ISERROR(FIND(" ",$D31)),"",TRIM(RIGHT(SUBSTITUTE(TRIM($D31)," ",REPT(" ",100)),100))))</f>
        <v/>
      </c>
      <c r="C31" s="4" t="str">
        <f aca="false">IF($D31="","",TRIM(LEFT(TRIM($D31),FIND(" ",TRIM($D31)&amp;" ")-1)))</f>
        <v/>
      </c>
      <c r="D31" s="5"/>
      <c r="E31" s="4" t="str">
        <f aca="false">IF($D31="","",$D31)</f>
        <v/>
      </c>
      <c r="F31" s="5"/>
      <c r="G31" s="6"/>
      <c r="H31" s="7" t="str">
        <f aca="false">IF($G31="","",SUBSTITUTE(SUBSTITUTE(SUBSTITUTE(SUBSTITUTE(SUBSTITUTE(SUBSTITUTE(SUBSTITUTE(TRIM($G31),"+",""),"-","")," ",""),"(",""),")",""),".",""),"/",""))</f>
        <v/>
      </c>
      <c r="I31" s="5"/>
      <c r="J31" s="5"/>
      <c r="K31" s="5"/>
      <c r="L31" s="4" t="str">
        <f aca="false">IF($F31="","",IFERROR(INDEX(Lists!$B$2:$B$200,MATCH($F31,Lists!$A$2:$A$200,0)),"Add to Lists"))</f>
        <v/>
      </c>
      <c r="M31" s="5"/>
      <c r="N31" s="5"/>
    </row>
    <row r="32" customFormat="false" ht="15" hidden="false" customHeight="false" outlineLevel="0" collapsed="false">
      <c r="A32" s="4" t="str">
        <f aca="false">IF($I32="","",$I32)</f>
        <v/>
      </c>
      <c r="B32" s="4" t="str">
        <f aca="false">IF($D32="","",IF(ISERROR(FIND(" ",$D32)),"",TRIM(RIGHT(SUBSTITUTE(TRIM($D32)," ",REPT(" ",100)),100))))</f>
        <v/>
      </c>
      <c r="C32" s="4" t="str">
        <f aca="false">IF($D32="","",TRIM(LEFT(TRIM($D32),FIND(" ",TRIM($D32)&amp;" ")-1)))</f>
        <v/>
      </c>
      <c r="D32" s="5"/>
      <c r="E32" s="4" t="str">
        <f aca="false">IF($D32="","",$D32)</f>
        <v/>
      </c>
      <c r="F32" s="5"/>
      <c r="G32" s="6"/>
      <c r="H32" s="7" t="str">
        <f aca="false">IF($G32="","",SUBSTITUTE(SUBSTITUTE(SUBSTITUTE(SUBSTITUTE(SUBSTITUTE(SUBSTITUTE(SUBSTITUTE(TRIM($G32),"+",""),"-","")," ",""),"(",""),")",""),".",""),"/",""))</f>
        <v/>
      </c>
      <c r="I32" s="5"/>
      <c r="J32" s="5"/>
      <c r="K32" s="5"/>
      <c r="L32" s="4" t="str">
        <f aca="false">IF($F32="","",IFERROR(INDEX(Lists!$B$2:$B$200,MATCH($F32,Lists!$A$2:$A$200,0)),"Add to Lists"))</f>
        <v/>
      </c>
      <c r="M32" s="5"/>
      <c r="N32" s="5"/>
    </row>
    <row r="33" customFormat="false" ht="15" hidden="false" customHeight="false" outlineLevel="0" collapsed="false">
      <c r="A33" s="4" t="str">
        <f aca="false">IF($I33="","",$I33)</f>
        <v/>
      </c>
      <c r="B33" s="4" t="str">
        <f aca="false">IF($D33="","",IF(ISERROR(FIND(" ",$D33)),"",TRIM(RIGHT(SUBSTITUTE(TRIM($D33)," ",REPT(" ",100)),100))))</f>
        <v/>
      </c>
      <c r="C33" s="4" t="str">
        <f aca="false">IF($D33="","",TRIM(LEFT(TRIM($D33),FIND(" ",TRIM($D33)&amp;" ")-1)))</f>
        <v/>
      </c>
      <c r="D33" s="5"/>
      <c r="E33" s="4" t="str">
        <f aca="false">IF($D33="","",$D33)</f>
        <v/>
      </c>
      <c r="F33" s="5"/>
      <c r="G33" s="6"/>
      <c r="H33" s="7" t="str">
        <f aca="false">IF($G33="","",SUBSTITUTE(SUBSTITUTE(SUBSTITUTE(SUBSTITUTE(SUBSTITUTE(SUBSTITUTE(SUBSTITUTE(TRIM($G33),"+",""),"-","")," ",""),"(",""),")",""),".",""),"/",""))</f>
        <v/>
      </c>
      <c r="I33" s="5"/>
      <c r="J33" s="5"/>
      <c r="K33" s="5"/>
      <c r="L33" s="4" t="str">
        <f aca="false">IF($F33="","",IFERROR(INDEX(Lists!$B$2:$B$200,MATCH($F33,Lists!$A$2:$A$200,0)),"Add to Lists"))</f>
        <v/>
      </c>
      <c r="M33" s="5"/>
      <c r="N33" s="5"/>
    </row>
    <row r="34" customFormat="false" ht="15" hidden="false" customHeight="false" outlineLevel="0" collapsed="false">
      <c r="A34" s="4" t="str">
        <f aca="false">IF($I34="","",$I34)</f>
        <v/>
      </c>
      <c r="B34" s="4" t="str">
        <f aca="false">IF($D34="","",IF(ISERROR(FIND(" ",$D34)),"",TRIM(RIGHT(SUBSTITUTE(TRIM($D34)," ",REPT(" ",100)),100))))</f>
        <v/>
      </c>
      <c r="C34" s="4" t="str">
        <f aca="false">IF($D34="","",TRIM(LEFT(TRIM($D34),FIND(" ",TRIM($D34)&amp;" ")-1)))</f>
        <v/>
      </c>
      <c r="D34" s="5"/>
      <c r="E34" s="4" t="str">
        <f aca="false">IF($D34="","",$D34)</f>
        <v/>
      </c>
      <c r="F34" s="5"/>
      <c r="G34" s="6"/>
      <c r="H34" s="7" t="str">
        <f aca="false">IF($G34="","",SUBSTITUTE(SUBSTITUTE(SUBSTITUTE(SUBSTITUTE(SUBSTITUTE(SUBSTITUTE(SUBSTITUTE(TRIM($G34),"+",""),"-","")," ",""),"(",""),")",""),".",""),"/",""))</f>
        <v/>
      </c>
      <c r="I34" s="5"/>
      <c r="J34" s="5"/>
      <c r="K34" s="5"/>
      <c r="L34" s="4" t="str">
        <f aca="false">IF($F34="","",IFERROR(INDEX(Lists!$B$2:$B$200,MATCH($F34,Lists!$A$2:$A$200,0)),"Add to Lists"))</f>
        <v/>
      </c>
      <c r="M34" s="5"/>
      <c r="N34" s="5"/>
    </row>
    <row r="35" customFormat="false" ht="15" hidden="false" customHeight="false" outlineLevel="0" collapsed="false">
      <c r="A35" s="4" t="str">
        <f aca="false">IF($I35="","",$I35)</f>
        <v/>
      </c>
      <c r="B35" s="4" t="str">
        <f aca="false">IF($D35="","",IF(ISERROR(FIND(" ",$D35)),"",TRIM(RIGHT(SUBSTITUTE(TRIM($D35)," ",REPT(" ",100)),100))))</f>
        <v/>
      </c>
      <c r="C35" s="4" t="str">
        <f aca="false">IF($D35="","",TRIM(LEFT(TRIM($D35),FIND(" ",TRIM($D35)&amp;" ")-1)))</f>
        <v/>
      </c>
      <c r="D35" s="5"/>
      <c r="E35" s="4" t="str">
        <f aca="false">IF($D35="","",$D35)</f>
        <v/>
      </c>
      <c r="F35" s="5"/>
      <c r="G35" s="6"/>
      <c r="H35" s="7" t="str">
        <f aca="false">IF($G35="","",SUBSTITUTE(SUBSTITUTE(SUBSTITUTE(SUBSTITUTE(SUBSTITUTE(SUBSTITUTE(SUBSTITUTE(TRIM($G35),"+",""),"-","")," ",""),"(",""),")",""),".",""),"/",""))</f>
        <v/>
      </c>
      <c r="I35" s="5"/>
      <c r="J35" s="5"/>
      <c r="K35" s="5"/>
      <c r="L35" s="4" t="str">
        <f aca="false">IF($F35="","",IFERROR(INDEX(Lists!$B$2:$B$200,MATCH($F35,Lists!$A$2:$A$200,0)),"Add to Lists"))</f>
        <v/>
      </c>
      <c r="M35" s="5"/>
      <c r="N35" s="5"/>
    </row>
    <row r="36" customFormat="false" ht="15" hidden="false" customHeight="false" outlineLevel="0" collapsed="false">
      <c r="A36" s="4" t="str">
        <f aca="false">IF($I36="","",$I36)</f>
        <v/>
      </c>
      <c r="B36" s="4" t="str">
        <f aca="false">IF($D36="","",IF(ISERROR(FIND(" ",$D36)),"",TRIM(RIGHT(SUBSTITUTE(TRIM($D36)," ",REPT(" ",100)),100))))</f>
        <v/>
      </c>
      <c r="C36" s="4" t="str">
        <f aca="false">IF($D36="","",TRIM(LEFT(TRIM($D36),FIND(" ",TRIM($D36)&amp;" ")-1)))</f>
        <v/>
      </c>
      <c r="D36" s="5"/>
      <c r="E36" s="4" t="str">
        <f aca="false">IF($D36="","",$D36)</f>
        <v/>
      </c>
      <c r="F36" s="5"/>
      <c r="G36" s="6"/>
      <c r="H36" s="7" t="str">
        <f aca="false">IF($G36="","",SUBSTITUTE(SUBSTITUTE(SUBSTITUTE(SUBSTITUTE(SUBSTITUTE(SUBSTITUTE(SUBSTITUTE(TRIM($G36),"+",""),"-","")," ",""),"(",""),")",""),".",""),"/",""))</f>
        <v/>
      </c>
      <c r="I36" s="5"/>
      <c r="J36" s="5"/>
      <c r="K36" s="5"/>
      <c r="L36" s="4" t="str">
        <f aca="false">IF($F36="","",IFERROR(INDEX(Lists!$B$2:$B$200,MATCH($F36,Lists!$A$2:$A$200,0)),"Add to Lists"))</f>
        <v/>
      </c>
      <c r="M36" s="5"/>
      <c r="N36" s="5"/>
    </row>
    <row r="37" customFormat="false" ht="15" hidden="false" customHeight="false" outlineLevel="0" collapsed="false">
      <c r="A37" s="4" t="str">
        <f aca="false">IF($I37="","",$I37)</f>
        <v/>
      </c>
      <c r="B37" s="4" t="str">
        <f aca="false">IF($D37="","",IF(ISERROR(FIND(" ",$D37)),"",TRIM(RIGHT(SUBSTITUTE(TRIM($D37)," ",REPT(" ",100)),100))))</f>
        <v/>
      </c>
      <c r="C37" s="4" t="str">
        <f aca="false">IF($D37="","",TRIM(LEFT(TRIM($D37),FIND(" ",TRIM($D37)&amp;" ")-1)))</f>
        <v/>
      </c>
      <c r="D37" s="5"/>
      <c r="E37" s="4" t="str">
        <f aca="false">IF($D37="","",$D37)</f>
        <v/>
      </c>
      <c r="F37" s="5"/>
      <c r="G37" s="6"/>
      <c r="H37" s="7" t="str">
        <f aca="false">IF($G37="","",SUBSTITUTE(SUBSTITUTE(SUBSTITUTE(SUBSTITUTE(SUBSTITUTE(SUBSTITUTE(SUBSTITUTE(TRIM($G37),"+",""),"-","")," ",""),"(",""),")",""),".",""),"/",""))</f>
        <v/>
      </c>
      <c r="I37" s="5"/>
      <c r="J37" s="5"/>
      <c r="K37" s="5"/>
      <c r="L37" s="4" t="str">
        <f aca="false">IF($F37="","",IFERROR(INDEX(Lists!$B$2:$B$200,MATCH($F37,Lists!$A$2:$A$200,0)),"Add to Lists"))</f>
        <v/>
      </c>
      <c r="M37" s="5"/>
      <c r="N37" s="5"/>
    </row>
    <row r="38" customFormat="false" ht="15" hidden="false" customHeight="false" outlineLevel="0" collapsed="false">
      <c r="A38" s="4" t="str">
        <f aca="false">IF($I38="","",$I38)</f>
        <v/>
      </c>
      <c r="B38" s="4" t="str">
        <f aca="false">IF($D38="","",IF(ISERROR(FIND(" ",$D38)),"",TRIM(RIGHT(SUBSTITUTE(TRIM($D38)," ",REPT(" ",100)),100))))</f>
        <v/>
      </c>
      <c r="C38" s="4" t="str">
        <f aca="false">IF($D38="","",TRIM(LEFT(TRIM($D38),FIND(" ",TRIM($D38)&amp;" ")-1)))</f>
        <v/>
      </c>
      <c r="D38" s="5"/>
      <c r="E38" s="4" t="str">
        <f aca="false">IF($D38="","",$D38)</f>
        <v/>
      </c>
      <c r="F38" s="5"/>
      <c r="G38" s="6"/>
      <c r="H38" s="7" t="str">
        <f aca="false">IF($G38="","",SUBSTITUTE(SUBSTITUTE(SUBSTITUTE(SUBSTITUTE(SUBSTITUTE(SUBSTITUTE(SUBSTITUTE(TRIM($G38),"+",""),"-","")," ",""),"(",""),")",""),".",""),"/",""))</f>
        <v/>
      </c>
      <c r="I38" s="5"/>
      <c r="J38" s="5"/>
      <c r="K38" s="5"/>
      <c r="L38" s="4" t="str">
        <f aca="false">IF($F38="","",IFERROR(INDEX(Lists!$B$2:$B$200,MATCH($F38,Lists!$A$2:$A$200,0)),"Add to Lists"))</f>
        <v/>
      </c>
      <c r="M38" s="5"/>
      <c r="N38" s="5"/>
    </row>
    <row r="39" customFormat="false" ht="15" hidden="false" customHeight="false" outlineLevel="0" collapsed="false">
      <c r="A39" s="4" t="str">
        <f aca="false">IF($I39="","",$I39)</f>
        <v/>
      </c>
      <c r="B39" s="4" t="str">
        <f aca="false">IF($D39="","",IF(ISERROR(FIND(" ",$D39)),"",TRIM(RIGHT(SUBSTITUTE(TRIM($D39)," ",REPT(" ",100)),100))))</f>
        <v/>
      </c>
      <c r="C39" s="4" t="str">
        <f aca="false">IF($D39="","",TRIM(LEFT(TRIM($D39),FIND(" ",TRIM($D39)&amp;" ")-1)))</f>
        <v/>
      </c>
      <c r="D39" s="5"/>
      <c r="E39" s="4" t="str">
        <f aca="false">IF($D39="","",$D39)</f>
        <v/>
      </c>
      <c r="F39" s="5"/>
      <c r="G39" s="6"/>
      <c r="H39" s="7" t="str">
        <f aca="false">IF($G39="","",SUBSTITUTE(SUBSTITUTE(SUBSTITUTE(SUBSTITUTE(SUBSTITUTE(SUBSTITUTE(SUBSTITUTE(TRIM($G39),"+",""),"-","")," ",""),"(",""),")",""),".",""),"/",""))</f>
        <v/>
      </c>
      <c r="I39" s="5"/>
      <c r="J39" s="5"/>
      <c r="K39" s="5"/>
      <c r="L39" s="4" t="str">
        <f aca="false">IF($F39="","",IFERROR(INDEX(Lists!$B$2:$B$200,MATCH($F39,Lists!$A$2:$A$200,0)),"Add to Lists"))</f>
        <v/>
      </c>
      <c r="M39" s="5"/>
      <c r="N39" s="5"/>
    </row>
    <row r="40" customFormat="false" ht="15" hidden="false" customHeight="false" outlineLevel="0" collapsed="false">
      <c r="A40" s="4" t="str">
        <f aca="false">IF($I40="","",$I40)</f>
        <v/>
      </c>
      <c r="B40" s="4" t="str">
        <f aca="false">IF($D40="","",IF(ISERROR(FIND(" ",$D40)),"",TRIM(RIGHT(SUBSTITUTE(TRIM($D40)," ",REPT(" ",100)),100))))</f>
        <v/>
      </c>
      <c r="C40" s="4" t="str">
        <f aca="false">IF($D40="","",TRIM(LEFT(TRIM($D40),FIND(" ",TRIM($D40)&amp;" ")-1)))</f>
        <v/>
      </c>
      <c r="D40" s="5"/>
      <c r="E40" s="4" t="str">
        <f aca="false">IF($D40="","",$D40)</f>
        <v/>
      </c>
      <c r="F40" s="5"/>
      <c r="G40" s="6"/>
      <c r="H40" s="7" t="str">
        <f aca="false">IF($G40="","",SUBSTITUTE(SUBSTITUTE(SUBSTITUTE(SUBSTITUTE(SUBSTITUTE(SUBSTITUTE(SUBSTITUTE(TRIM($G40),"+",""),"-","")," ",""),"(",""),")",""),".",""),"/",""))</f>
        <v/>
      </c>
      <c r="I40" s="5"/>
      <c r="J40" s="5"/>
      <c r="K40" s="5"/>
      <c r="L40" s="4" t="str">
        <f aca="false">IF($F40="","",IFERROR(INDEX(Lists!$B$2:$B$200,MATCH($F40,Lists!$A$2:$A$200,0)),"Add to Lists"))</f>
        <v/>
      </c>
      <c r="M40" s="5"/>
      <c r="N40" s="5"/>
    </row>
    <row r="41" customFormat="false" ht="15" hidden="false" customHeight="false" outlineLevel="0" collapsed="false">
      <c r="A41" s="4" t="str">
        <f aca="false">IF($I41="","",$I41)</f>
        <v/>
      </c>
      <c r="B41" s="4" t="str">
        <f aca="false">IF($D41="","",IF(ISERROR(FIND(" ",$D41)),"",TRIM(RIGHT(SUBSTITUTE(TRIM($D41)," ",REPT(" ",100)),100))))</f>
        <v/>
      </c>
      <c r="C41" s="4" t="str">
        <f aca="false">IF($D41="","",TRIM(LEFT(TRIM($D41),FIND(" ",TRIM($D41)&amp;" ")-1)))</f>
        <v/>
      </c>
      <c r="D41" s="5"/>
      <c r="E41" s="4" t="str">
        <f aca="false">IF($D41="","",$D41)</f>
        <v/>
      </c>
      <c r="F41" s="5"/>
      <c r="G41" s="6"/>
      <c r="H41" s="7" t="str">
        <f aca="false">IF($G41="","",SUBSTITUTE(SUBSTITUTE(SUBSTITUTE(SUBSTITUTE(SUBSTITUTE(SUBSTITUTE(SUBSTITUTE(TRIM($G41),"+",""),"-","")," ",""),"(",""),")",""),".",""),"/",""))</f>
        <v/>
      </c>
      <c r="I41" s="5"/>
      <c r="J41" s="5"/>
      <c r="K41" s="5"/>
      <c r="L41" s="4" t="str">
        <f aca="false">IF($F41="","",IFERROR(INDEX(Lists!$B$2:$B$200,MATCH($F41,Lists!$A$2:$A$200,0)),"Add to Lists"))</f>
        <v/>
      </c>
      <c r="M41" s="5"/>
      <c r="N41" s="5"/>
    </row>
    <row r="42" customFormat="false" ht="15" hidden="false" customHeight="false" outlineLevel="0" collapsed="false">
      <c r="A42" s="4" t="str">
        <f aca="false">IF($I42="","",$I42)</f>
        <v/>
      </c>
      <c r="B42" s="4" t="str">
        <f aca="false">IF($D42="","",IF(ISERROR(FIND(" ",$D42)),"",TRIM(RIGHT(SUBSTITUTE(TRIM($D42)," ",REPT(" ",100)),100))))</f>
        <v/>
      </c>
      <c r="C42" s="4" t="str">
        <f aca="false">IF($D42="","",TRIM(LEFT(TRIM($D42),FIND(" ",TRIM($D42)&amp;" ")-1)))</f>
        <v/>
      </c>
      <c r="D42" s="5"/>
      <c r="E42" s="4" t="str">
        <f aca="false">IF($D42="","",$D42)</f>
        <v/>
      </c>
      <c r="F42" s="5"/>
      <c r="G42" s="6"/>
      <c r="H42" s="7" t="str">
        <f aca="false">IF($G42="","",SUBSTITUTE(SUBSTITUTE(SUBSTITUTE(SUBSTITUTE(SUBSTITUTE(SUBSTITUTE(SUBSTITUTE(TRIM($G42),"+",""),"-","")," ",""),"(",""),")",""),".",""),"/",""))</f>
        <v/>
      </c>
      <c r="I42" s="5"/>
      <c r="J42" s="5"/>
      <c r="K42" s="5"/>
      <c r="L42" s="4" t="str">
        <f aca="false">IF($F42="","",IFERROR(INDEX(Lists!$B$2:$B$200,MATCH($F42,Lists!$A$2:$A$200,0)),"Add to Lists"))</f>
        <v/>
      </c>
      <c r="M42" s="5"/>
      <c r="N42" s="5"/>
    </row>
    <row r="43" customFormat="false" ht="15" hidden="false" customHeight="false" outlineLevel="0" collapsed="false">
      <c r="A43" s="4" t="str">
        <f aca="false">IF($I43="","",$I43)</f>
        <v/>
      </c>
      <c r="B43" s="4" t="str">
        <f aca="false">IF($D43="","",IF(ISERROR(FIND(" ",$D43)),"",TRIM(RIGHT(SUBSTITUTE(TRIM($D43)," ",REPT(" ",100)),100))))</f>
        <v/>
      </c>
      <c r="C43" s="4" t="str">
        <f aca="false">IF($D43="","",TRIM(LEFT(TRIM($D43),FIND(" ",TRIM($D43)&amp;" ")-1)))</f>
        <v/>
      </c>
      <c r="D43" s="5"/>
      <c r="E43" s="4" t="str">
        <f aca="false">IF($D43="","",$D43)</f>
        <v/>
      </c>
      <c r="F43" s="5"/>
      <c r="G43" s="6"/>
      <c r="H43" s="7" t="str">
        <f aca="false">IF($G43="","",SUBSTITUTE(SUBSTITUTE(SUBSTITUTE(SUBSTITUTE(SUBSTITUTE(SUBSTITUTE(SUBSTITUTE(TRIM($G43),"+",""),"-","")," ",""),"(",""),")",""),".",""),"/",""))</f>
        <v/>
      </c>
      <c r="I43" s="5"/>
      <c r="J43" s="5"/>
      <c r="K43" s="5"/>
      <c r="L43" s="4" t="str">
        <f aca="false">IF($F43="","",IFERROR(INDEX(Lists!$B$2:$B$200,MATCH($F43,Lists!$A$2:$A$200,0)),"Add to Lists"))</f>
        <v/>
      </c>
      <c r="M43" s="5"/>
      <c r="N43" s="5"/>
    </row>
    <row r="44" customFormat="false" ht="15" hidden="false" customHeight="false" outlineLevel="0" collapsed="false">
      <c r="A44" s="4" t="str">
        <f aca="false">IF($I44="","",$I44)</f>
        <v/>
      </c>
      <c r="B44" s="4" t="str">
        <f aca="false">IF($D44="","",IF(ISERROR(FIND(" ",$D44)),"",TRIM(RIGHT(SUBSTITUTE(TRIM($D44)," ",REPT(" ",100)),100))))</f>
        <v/>
      </c>
      <c r="C44" s="4" t="str">
        <f aca="false">IF($D44="","",TRIM(LEFT(TRIM($D44),FIND(" ",TRIM($D44)&amp;" ")-1)))</f>
        <v/>
      </c>
      <c r="D44" s="5"/>
      <c r="E44" s="4" t="str">
        <f aca="false">IF($D44="","",$D44)</f>
        <v/>
      </c>
      <c r="F44" s="5"/>
      <c r="G44" s="6"/>
      <c r="H44" s="7" t="str">
        <f aca="false">IF($G44="","",SUBSTITUTE(SUBSTITUTE(SUBSTITUTE(SUBSTITUTE(SUBSTITUTE(SUBSTITUTE(SUBSTITUTE(TRIM($G44),"+",""),"-","")," ",""),"(",""),")",""),".",""),"/",""))</f>
        <v/>
      </c>
      <c r="I44" s="5"/>
      <c r="J44" s="5"/>
      <c r="K44" s="5"/>
      <c r="L44" s="4" t="str">
        <f aca="false">IF($F44="","",IFERROR(INDEX(Lists!$B$2:$B$200,MATCH($F44,Lists!$A$2:$A$200,0)),"Add to Lists"))</f>
        <v/>
      </c>
      <c r="M44" s="5"/>
      <c r="N44" s="5"/>
    </row>
    <row r="45" customFormat="false" ht="15" hidden="false" customHeight="false" outlineLevel="0" collapsed="false">
      <c r="A45" s="4" t="str">
        <f aca="false">IF($I45="","",$I45)</f>
        <v/>
      </c>
      <c r="B45" s="4" t="str">
        <f aca="false">IF($D45="","",IF(ISERROR(FIND(" ",$D45)),"",TRIM(RIGHT(SUBSTITUTE(TRIM($D45)," ",REPT(" ",100)),100))))</f>
        <v/>
      </c>
      <c r="C45" s="4" t="str">
        <f aca="false">IF($D45="","",TRIM(LEFT(TRIM($D45),FIND(" ",TRIM($D45)&amp;" ")-1)))</f>
        <v/>
      </c>
      <c r="D45" s="5"/>
      <c r="E45" s="4" t="str">
        <f aca="false">IF($D45="","",$D45)</f>
        <v/>
      </c>
      <c r="F45" s="5"/>
      <c r="G45" s="6"/>
      <c r="H45" s="7" t="str">
        <f aca="false">IF($G45="","",SUBSTITUTE(SUBSTITUTE(SUBSTITUTE(SUBSTITUTE(SUBSTITUTE(SUBSTITUTE(SUBSTITUTE(TRIM($G45),"+",""),"-","")," ",""),"(",""),")",""),".",""),"/",""))</f>
        <v/>
      </c>
      <c r="I45" s="5"/>
      <c r="J45" s="5"/>
      <c r="K45" s="5"/>
      <c r="L45" s="4" t="str">
        <f aca="false">IF($F45="","",IFERROR(INDEX(Lists!$B$2:$B$200,MATCH($F45,Lists!$A$2:$A$200,0)),"Add to Lists"))</f>
        <v/>
      </c>
      <c r="M45" s="5"/>
      <c r="N45" s="5"/>
    </row>
    <row r="46" customFormat="false" ht="15" hidden="false" customHeight="false" outlineLevel="0" collapsed="false">
      <c r="A46" s="4" t="str">
        <f aca="false">IF($I46="","",$I46)</f>
        <v/>
      </c>
      <c r="B46" s="4" t="str">
        <f aca="false">IF($D46="","",IF(ISERROR(FIND(" ",$D46)),"",TRIM(RIGHT(SUBSTITUTE(TRIM($D46)," ",REPT(" ",100)),100))))</f>
        <v/>
      </c>
      <c r="C46" s="4" t="str">
        <f aca="false">IF($D46="","",TRIM(LEFT(TRIM($D46),FIND(" ",TRIM($D46)&amp;" ")-1)))</f>
        <v/>
      </c>
      <c r="D46" s="5"/>
      <c r="E46" s="4" t="str">
        <f aca="false">IF($D46="","",$D46)</f>
        <v/>
      </c>
      <c r="F46" s="5"/>
      <c r="G46" s="6"/>
      <c r="H46" s="7" t="str">
        <f aca="false">IF($G46="","",SUBSTITUTE(SUBSTITUTE(SUBSTITUTE(SUBSTITUTE(SUBSTITUTE(SUBSTITUTE(SUBSTITUTE(TRIM($G46),"+",""),"-","")," ",""),"(",""),")",""),".",""),"/",""))</f>
        <v/>
      </c>
      <c r="I46" s="5"/>
      <c r="J46" s="5"/>
      <c r="K46" s="5"/>
      <c r="L46" s="4" t="str">
        <f aca="false">IF($F46="","",IFERROR(INDEX(Lists!$B$2:$B$200,MATCH($F46,Lists!$A$2:$A$200,0)),"Add to Lists"))</f>
        <v/>
      </c>
      <c r="M46" s="5"/>
      <c r="N46" s="5"/>
    </row>
    <row r="47" customFormat="false" ht="15" hidden="false" customHeight="false" outlineLevel="0" collapsed="false">
      <c r="A47" s="4" t="str">
        <f aca="false">IF($I47="","",$I47)</f>
        <v/>
      </c>
      <c r="B47" s="4" t="str">
        <f aca="false">IF($D47="","",IF(ISERROR(FIND(" ",$D47)),"",TRIM(RIGHT(SUBSTITUTE(TRIM($D47)," ",REPT(" ",100)),100))))</f>
        <v/>
      </c>
      <c r="C47" s="4" t="str">
        <f aca="false">IF($D47="","",TRIM(LEFT(TRIM($D47),FIND(" ",TRIM($D47)&amp;" ")-1)))</f>
        <v/>
      </c>
      <c r="D47" s="5"/>
      <c r="E47" s="4" t="str">
        <f aca="false">IF($D47="","",$D47)</f>
        <v/>
      </c>
      <c r="F47" s="5"/>
      <c r="G47" s="6"/>
      <c r="H47" s="7" t="str">
        <f aca="false">IF($G47="","",SUBSTITUTE(SUBSTITUTE(SUBSTITUTE(SUBSTITUTE(SUBSTITUTE(SUBSTITUTE(SUBSTITUTE(TRIM($G47),"+",""),"-","")," ",""),"(",""),")",""),".",""),"/",""))</f>
        <v/>
      </c>
      <c r="I47" s="5"/>
      <c r="J47" s="5"/>
      <c r="K47" s="5"/>
      <c r="L47" s="4" t="str">
        <f aca="false">IF($F47="","",IFERROR(INDEX(Lists!$B$2:$B$200,MATCH($F47,Lists!$A$2:$A$200,0)),"Add to Lists"))</f>
        <v/>
      </c>
      <c r="M47" s="5"/>
      <c r="N47" s="5"/>
    </row>
    <row r="48" customFormat="false" ht="15" hidden="false" customHeight="false" outlineLevel="0" collapsed="false">
      <c r="A48" s="4" t="str">
        <f aca="false">IF($I48="","",$I48)</f>
        <v/>
      </c>
      <c r="B48" s="4" t="str">
        <f aca="false">IF($D48="","",IF(ISERROR(FIND(" ",$D48)),"",TRIM(RIGHT(SUBSTITUTE(TRIM($D48)," ",REPT(" ",100)),100))))</f>
        <v/>
      </c>
      <c r="C48" s="4" t="str">
        <f aca="false">IF($D48="","",TRIM(LEFT(TRIM($D48),FIND(" ",TRIM($D48)&amp;" ")-1)))</f>
        <v/>
      </c>
      <c r="D48" s="5"/>
      <c r="E48" s="4" t="str">
        <f aca="false">IF($D48="","",$D48)</f>
        <v/>
      </c>
      <c r="F48" s="5"/>
      <c r="G48" s="6"/>
      <c r="H48" s="7" t="str">
        <f aca="false">IF($G48="","",SUBSTITUTE(SUBSTITUTE(SUBSTITUTE(SUBSTITUTE(SUBSTITUTE(SUBSTITUTE(SUBSTITUTE(TRIM($G48),"+",""),"-","")," ",""),"(",""),")",""),".",""),"/",""))</f>
        <v/>
      </c>
      <c r="I48" s="5"/>
      <c r="J48" s="5"/>
      <c r="K48" s="5"/>
      <c r="L48" s="4" t="str">
        <f aca="false">IF($F48="","",IFERROR(INDEX(Lists!$B$2:$B$200,MATCH($F48,Lists!$A$2:$A$200,0)),"Add to Lists"))</f>
        <v/>
      </c>
      <c r="M48" s="5"/>
      <c r="N48" s="5"/>
    </row>
    <row r="49" customFormat="false" ht="15" hidden="false" customHeight="false" outlineLevel="0" collapsed="false">
      <c r="A49" s="4" t="str">
        <f aca="false">IF($I49="","",$I49)</f>
        <v/>
      </c>
      <c r="B49" s="4" t="str">
        <f aca="false">IF($D49="","",IF(ISERROR(FIND(" ",$D49)),"",TRIM(RIGHT(SUBSTITUTE(TRIM($D49)," ",REPT(" ",100)),100))))</f>
        <v/>
      </c>
      <c r="C49" s="4" t="str">
        <f aca="false">IF($D49="","",TRIM(LEFT(TRIM($D49),FIND(" ",TRIM($D49)&amp;" ")-1)))</f>
        <v/>
      </c>
      <c r="D49" s="5"/>
      <c r="E49" s="4" t="str">
        <f aca="false">IF($D49="","",$D49)</f>
        <v/>
      </c>
      <c r="F49" s="5"/>
      <c r="G49" s="6"/>
      <c r="H49" s="7" t="str">
        <f aca="false">IF($G49="","",SUBSTITUTE(SUBSTITUTE(SUBSTITUTE(SUBSTITUTE(SUBSTITUTE(SUBSTITUTE(SUBSTITUTE(TRIM($G49),"+",""),"-","")," ",""),"(",""),")",""),".",""),"/",""))</f>
        <v/>
      </c>
      <c r="I49" s="5"/>
      <c r="J49" s="5"/>
      <c r="K49" s="5"/>
      <c r="L49" s="4" t="str">
        <f aca="false">IF($F49="","",IFERROR(INDEX(Lists!$B$2:$B$200,MATCH($F49,Lists!$A$2:$A$200,0)),"Add to Lists"))</f>
        <v/>
      </c>
      <c r="M49" s="5"/>
      <c r="N49" s="5"/>
    </row>
    <row r="50" customFormat="false" ht="15" hidden="false" customHeight="false" outlineLevel="0" collapsed="false">
      <c r="A50" s="4" t="str">
        <f aca="false">IF($I50="","",$I50)</f>
        <v/>
      </c>
      <c r="B50" s="4" t="str">
        <f aca="false">IF($D50="","",IF(ISERROR(FIND(" ",$D50)),"",TRIM(RIGHT(SUBSTITUTE(TRIM($D50)," ",REPT(" ",100)),100))))</f>
        <v/>
      </c>
      <c r="C50" s="4" t="str">
        <f aca="false">IF($D50="","",TRIM(LEFT(TRIM($D50),FIND(" ",TRIM($D50)&amp;" ")-1)))</f>
        <v/>
      </c>
      <c r="D50" s="5"/>
      <c r="E50" s="4" t="str">
        <f aca="false">IF($D50="","",$D50)</f>
        <v/>
      </c>
      <c r="F50" s="5"/>
      <c r="G50" s="6"/>
      <c r="H50" s="7" t="str">
        <f aca="false">IF($G50="","",SUBSTITUTE(SUBSTITUTE(SUBSTITUTE(SUBSTITUTE(SUBSTITUTE(SUBSTITUTE(SUBSTITUTE(TRIM($G50),"+",""),"-","")," ",""),"(",""),")",""),".",""),"/",""))</f>
        <v/>
      </c>
      <c r="I50" s="5"/>
      <c r="J50" s="5"/>
      <c r="K50" s="5"/>
      <c r="L50" s="4" t="str">
        <f aca="false">IF($F50="","",IFERROR(INDEX(Lists!$B$2:$B$200,MATCH($F50,Lists!$A$2:$A$200,0)),"Add to Lists"))</f>
        <v/>
      </c>
      <c r="M50" s="5"/>
      <c r="N50" s="5"/>
    </row>
    <row r="51" customFormat="false" ht="15" hidden="false" customHeight="false" outlineLevel="0" collapsed="false">
      <c r="A51" s="4" t="str">
        <f aca="false">IF($I51="","",$I51)</f>
        <v/>
      </c>
      <c r="B51" s="4" t="str">
        <f aca="false">IF($D51="","",IF(ISERROR(FIND(" ",$D51)),"",TRIM(RIGHT(SUBSTITUTE(TRIM($D51)," ",REPT(" ",100)),100))))</f>
        <v/>
      </c>
      <c r="C51" s="4" t="str">
        <f aca="false">IF($D51="","",TRIM(LEFT(TRIM($D51),FIND(" ",TRIM($D51)&amp;" ")-1)))</f>
        <v/>
      </c>
      <c r="D51" s="5"/>
      <c r="E51" s="4" t="str">
        <f aca="false">IF($D51="","",$D51)</f>
        <v/>
      </c>
      <c r="F51" s="5"/>
      <c r="G51" s="6"/>
      <c r="H51" s="7" t="str">
        <f aca="false">IF($G51="","",SUBSTITUTE(SUBSTITUTE(SUBSTITUTE(SUBSTITUTE(SUBSTITUTE(SUBSTITUTE(SUBSTITUTE(TRIM($G51),"+",""),"-","")," ",""),"(",""),")",""),".",""),"/",""))</f>
        <v/>
      </c>
      <c r="I51" s="5"/>
      <c r="J51" s="5"/>
      <c r="K51" s="5"/>
      <c r="L51" s="4" t="str">
        <f aca="false">IF($F51="","",IFERROR(INDEX(Lists!$B$2:$B$200,MATCH($F51,Lists!$A$2:$A$200,0)),"Add to Lists"))</f>
        <v/>
      </c>
      <c r="M51" s="5"/>
      <c r="N51" s="5"/>
    </row>
    <row r="52" customFormat="false" ht="15" hidden="false" customHeight="false" outlineLevel="0" collapsed="false">
      <c r="A52" s="4" t="str">
        <f aca="false">IF($I52="","",$I52)</f>
        <v/>
      </c>
      <c r="B52" s="4" t="str">
        <f aca="false">IF($D52="","",IF(ISERROR(FIND(" ",$D52)),"",TRIM(RIGHT(SUBSTITUTE(TRIM($D52)," ",REPT(" ",100)),100))))</f>
        <v/>
      </c>
      <c r="C52" s="4" t="str">
        <f aca="false">IF($D52="","",TRIM(LEFT(TRIM($D52),FIND(" ",TRIM($D52)&amp;" ")-1)))</f>
        <v/>
      </c>
      <c r="D52" s="5"/>
      <c r="E52" s="4" t="str">
        <f aca="false">IF($D52="","",$D52)</f>
        <v/>
      </c>
      <c r="F52" s="5"/>
      <c r="G52" s="6"/>
      <c r="H52" s="7" t="str">
        <f aca="false">IF($G52="","",SUBSTITUTE(SUBSTITUTE(SUBSTITUTE(SUBSTITUTE(SUBSTITUTE(SUBSTITUTE(SUBSTITUTE(TRIM($G52),"+",""),"-","")," ",""),"(",""),")",""),".",""),"/",""))</f>
        <v/>
      </c>
      <c r="I52" s="5"/>
      <c r="J52" s="5"/>
      <c r="K52" s="5"/>
      <c r="L52" s="4" t="str">
        <f aca="false">IF($F52="","",IFERROR(INDEX(Lists!$B$2:$B$200,MATCH($F52,Lists!$A$2:$A$200,0)),"Add to Lists"))</f>
        <v/>
      </c>
      <c r="M52" s="5"/>
      <c r="N52" s="5"/>
    </row>
    <row r="53" customFormat="false" ht="15" hidden="false" customHeight="false" outlineLevel="0" collapsed="false">
      <c r="A53" s="4" t="str">
        <f aca="false">IF($I53="","",$I53)</f>
        <v/>
      </c>
      <c r="B53" s="4" t="str">
        <f aca="false">IF($D53="","",IF(ISERROR(FIND(" ",$D53)),"",TRIM(RIGHT(SUBSTITUTE(TRIM($D53)," ",REPT(" ",100)),100))))</f>
        <v/>
      </c>
      <c r="C53" s="4" t="str">
        <f aca="false">IF($D53="","",TRIM(LEFT(TRIM($D53),FIND(" ",TRIM($D53)&amp;" ")-1)))</f>
        <v/>
      </c>
      <c r="D53" s="5"/>
      <c r="E53" s="4" t="str">
        <f aca="false">IF($D53="","",$D53)</f>
        <v/>
      </c>
      <c r="F53" s="5"/>
      <c r="G53" s="6"/>
      <c r="H53" s="7" t="str">
        <f aca="false">IF($G53="","",SUBSTITUTE(SUBSTITUTE(SUBSTITUTE(SUBSTITUTE(SUBSTITUTE(SUBSTITUTE(SUBSTITUTE(TRIM($G53),"+",""),"-","")," ",""),"(",""),")",""),".",""),"/",""))</f>
        <v/>
      </c>
      <c r="I53" s="5"/>
      <c r="J53" s="5"/>
      <c r="K53" s="5"/>
      <c r="L53" s="4" t="str">
        <f aca="false">IF($F53="","",IFERROR(INDEX(Lists!$B$2:$B$200,MATCH($F53,Lists!$A$2:$A$200,0)),"Add to Lists"))</f>
        <v/>
      </c>
      <c r="M53" s="5"/>
      <c r="N53" s="5"/>
    </row>
    <row r="54" customFormat="false" ht="15" hidden="false" customHeight="false" outlineLevel="0" collapsed="false">
      <c r="A54" s="4" t="str">
        <f aca="false">IF($I54="","",$I54)</f>
        <v/>
      </c>
      <c r="B54" s="4" t="str">
        <f aca="false">IF($D54="","",IF(ISERROR(FIND(" ",$D54)),"",TRIM(RIGHT(SUBSTITUTE(TRIM($D54)," ",REPT(" ",100)),100))))</f>
        <v/>
      </c>
      <c r="C54" s="4" t="str">
        <f aca="false">IF($D54="","",TRIM(LEFT(TRIM($D54),FIND(" ",TRIM($D54)&amp;" ")-1)))</f>
        <v/>
      </c>
      <c r="D54" s="5"/>
      <c r="E54" s="4" t="str">
        <f aca="false">IF($D54="","",$D54)</f>
        <v/>
      </c>
      <c r="F54" s="5"/>
      <c r="G54" s="6"/>
      <c r="H54" s="7" t="str">
        <f aca="false">IF($G54="","",SUBSTITUTE(SUBSTITUTE(SUBSTITUTE(SUBSTITUTE(SUBSTITUTE(SUBSTITUTE(SUBSTITUTE(TRIM($G54),"+",""),"-","")," ",""),"(",""),")",""),".",""),"/",""))</f>
        <v/>
      </c>
      <c r="I54" s="5"/>
      <c r="J54" s="5"/>
      <c r="K54" s="5"/>
      <c r="L54" s="4" t="str">
        <f aca="false">IF($F54="","",IFERROR(INDEX(Lists!$B$2:$B$200,MATCH($F54,Lists!$A$2:$A$200,0)),"Add to Lists"))</f>
        <v/>
      </c>
      <c r="M54" s="5"/>
      <c r="N54" s="5"/>
    </row>
    <row r="55" customFormat="false" ht="15" hidden="false" customHeight="false" outlineLevel="0" collapsed="false">
      <c r="A55" s="4" t="str">
        <f aca="false">IF($I55="","",$I55)</f>
        <v/>
      </c>
      <c r="B55" s="4" t="str">
        <f aca="false">IF($D55="","",IF(ISERROR(FIND(" ",$D55)),"",TRIM(RIGHT(SUBSTITUTE(TRIM($D55)," ",REPT(" ",100)),100))))</f>
        <v/>
      </c>
      <c r="C55" s="4" t="str">
        <f aca="false">IF($D55="","",TRIM(LEFT(TRIM($D55),FIND(" ",TRIM($D55)&amp;" ")-1)))</f>
        <v/>
      </c>
      <c r="D55" s="5"/>
      <c r="E55" s="4" t="str">
        <f aca="false">IF($D55="","",$D55)</f>
        <v/>
      </c>
      <c r="F55" s="5"/>
      <c r="G55" s="6"/>
      <c r="H55" s="7" t="str">
        <f aca="false">IF($G55="","",SUBSTITUTE(SUBSTITUTE(SUBSTITUTE(SUBSTITUTE(SUBSTITUTE(SUBSTITUTE(SUBSTITUTE(TRIM($G55),"+",""),"-","")," ",""),"(",""),")",""),".",""),"/",""))</f>
        <v/>
      </c>
      <c r="I55" s="5"/>
      <c r="J55" s="5"/>
      <c r="K55" s="5"/>
      <c r="L55" s="4" t="str">
        <f aca="false">IF($F55="","",IFERROR(INDEX(Lists!$B$2:$B$200,MATCH($F55,Lists!$A$2:$A$200,0)),"Add to Lists"))</f>
        <v/>
      </c>
      <c r="M55" s="5"/>
      <c r="N55" s="5"/>
    </row>
    <row r="56" customFormat="false" ht="15" hidden="false" customHeight="false" outlineLevel="0" collapsed="false">
      <c r="A56" s="4" t="str">
        <f aca="false">IF($I56="","",$I56)</f>
        <v/>
      </c>
      <c r="B56" s="4" t="str">
        <f aca="false">IF($D56="","",IF(ISERROR(FIND(" ",$D56)),"",TRIM(RIGHT(SUBSTITUTE(TRIM($D56)," ",REPT(" ",100)),100))))</f>
        <v/>
      </c>
      <c r="C56" s="4" t="str">
        <f aca="false">IF($D56="","",TRIM(LEFT(TRIM($D56),FIND(" ",TRIM($D56)&amp;" ")-1)))</f>
        <v/>
      </c>
      <c r="D56" s="5"/>
      <c r="E56" s="4" t="str">
        <f aca="false">IF($D56="","",$D56)</f>
        <v/>
      </c>
      <c r="F56" s="5"/>
      <c r="G56" s="6"/>
      <c r="H56" s="7" t="str">
        <f aca="false">IF($G56="","",SUBSTITUTE(SUBSTITUTE(SUBSTITUTE(SUBSTITUTE(SUBSTITUTE(SUBSTITUTE(SUBSTITUTE(TRIM($G56),"+",""),"-","")," ",""),"(",""),")",""),".",""),"/",""))</f>
        <v/>
      </c>
      <c r="I56" s="5"/>
      <c r="J56" s="5"/>
      <c r="K56" s="5"/>
      <c r="L56" s="4" t="str">
        <f aca="false">IF($F56="","",IFERROR(INDEX(Lists!$B$2:$B$200,MATCH($F56,Lists!$A$2:$A$200,0)),"Add to Lists"))</f>
        <v/>
      </c>
      <c r="M56" s="5"/>
      <c r="N56" s="5"/>
    </row>
    <row r="57" customFormat="false" ht="15" hidden="false" customHeight="false" outlineLevel="0" collapsed="false">
      <c r="A57" s="4" t="str">
        <f aca="false">IF($I57="","",$I57)</f>
        <v/>
      </c>
      <c r="B57" s="4" t="str">
        <f aca="false">IF($D57="","",IF(ISERROR(FIND(" ",$D57)),"",TRIM(RIGHT(SUBSTITUTE(TRIM($D57)," ",REPT(" ",100)),100))))</f>
        <v/>
      </c>
      <c r="C57" s="4" t="str">
        <f aca="false">IF($D57="","",TRIM(LEFT(TRIM($D57),FIND(" ",TRIM($D57)&amp;" ")-1)))</f>
        <v/>
      </c>
      <c r="D57" s="5"/>
      <c r="E57" s="4" t="str">
        <f aca="false">IF($D57="","",$D57)</f>
        <v/>
      </c>
      <c r="F57" s="5"/>
      <c r="G57" s="6"/>
      <c r="H57" s="7" t="str">
        <f aca="false">IF($G57="","",SUBSTITUTE(SUBSTITUTE(SUBSTITUTE(SUBSTITUTE(SUBSTITUTE(SUBSTITUTE(SUBSTITUTE(TRIM($G57),"+",""),"-","")," ",""),"(",""),")",""),".",""),"/",""))</f>
        <v/>
      </c>
      <c r="I57" s="5"/>
      <c r="J57" s="5"/>
      <c r="K57" s="5"/>
      <c r="L57" s="4" t="str">
        <f aca="false">IF($F57="","",IFERROR(INDEX(Lists!$B$2:$B$200,MATCH($F57,Lists!$A$2:$A$200,0)),"Add to Lists"))</f>
        <v/>
      </c>
      <c r="M57" s="5"/>
      <c r="N57" s="5"/>
    </row>
    <row r="58" customFormat="false" ht="15" hidden="false" customHeight="false" outlineLevel="0" collapsed="false">
      <c r="A58" s="4" t="str">
        <f aca="false">IF($I58="","",$I58)</f>
        <v/>
      </c>
      <c r="B58" s="4" t="str">
        <f aca="false">IF($D58="","",IF(ISERROR(FIND(" ",$D58)),"",TRIM(RIGHT(SUBSTITUTE(TRIM($D58)," ",REPT(" ",100)),100))))</f>
        <v/>
      </c>
      <c r="C58" s="4" t="str">
        <f aca="false">IF($D58="","",TRIM(LEFT(TRIM($D58),FIND(" ",TRIM($D58)&amp;" ")-1)))</f>
        <v/>
      </c>
      <c r="D58" s="5"/>
      <c r="E58" s="4" t="str">
        <f aca="false">IF($D58="","",$D58)</f>
        <v/>
      </c>
      <c r="F58" s="5"/>
      <c r="G58" s="6"/>
      <c r="H58" s="7" t="str">
        <f aca="false">IF($G58="","",SUBSTITUTE(SUBSTITUTE(SUBSTITUTE(SUBSTITUTE(SUBSTITUTE(SUBSTITUTE(SUBSTITUTE(TRIM($G58),"+",""),"-","")," ",""),"(",""),")",""),".",""),"/",""))</f>
        <v/>
      </c>
      <c r="I58" s="5"/>
      <c r="J58" s="5"/>
      <c r="K58" s="5"/>
      <c r="L58" s="4" t="str">
        <f aca="false">IF($F58="","",IFERROR(INDEX(Lists!$B$2:$B$200,MATCH($F58,Lists!$A$2:$A$200,0)),"Add to Lists"))</f>
        <v/>
      </c>
      <c r="M58" s="5"/>
      <c r="N58" s="5"/>
    </row>
    <row r="59" customFormat="false" ht="15" hidden="false" customHeight="false" outlineLevel="0" collapsed="false">
      <c r="A59" s="4" t="str">
        <f aca="false">IF($I59="","",$I59)</f>
        <v/>
      </c>
      <c r="B59" s="4" t="str">
        <f aca="false">IF($D59="","",IF(ISERROR(FIND(" ",$D59)),"",TRIM(RIGHT(SUBSTITUTE(TRIM($D59)," ",REPT(" ",100)),100))))</f>
        <v/>
      </c>
      <c r="C59" s="4" t="str">
        <f aca="false">IF($D59="","",TRIM(LEFT(TRIM($D59),FIND(" ",TRIM($D59)&amp;" ")-1)))</f>
        <v/>
      </c>
      <c r="D59" s="5"/>
      <c r="E59" s="4" t="str">
        <f aca="false">IF($D59="","",$D59)</f>
        <v/>
      </c>
      <c r="F59" s="5"/>
      <c r="G59" s="6"/>
      <c r="H59" s="7" t="str">
        <f aca="false">IF($G59="","",SUBSTITUTE(SUBSTITUTE(SUBSTITUTE(SUBSTITUTE(SUBSTITUTE(SUBSTITUTE(SUBSTITUTE(TRIM($G59),"+",""),"-","")," ",""),"(",""),")",""),".",""),"/",""))</f>
        <v/>
      </c>
      <c r="I59" s="5"/>
      <c r="J59" s="5"/>
      <c r="K59" s="5"/>
      <c r="L59" s="4" t="str">
        <f aca="false">IF($F59="","",IFERROR(INDEX(Lists!$B$2:$B$200,MATCH($F59,Lists!$A$2:$A$200,0)),"Add to Lists"))</f>
        <v/>
      </c>
      <c r="M59" s="5"/>
      <c r="N59" s="5"/>
    </row>
    <row r="60" customFormat="false" ht="15" hidden="false" customHeight="false" outlineLevel="0" collapsed="false">
      <c r="A60" s="4" t="str">
        <f aca="false">IF($I60="","",$I60)</f>
        <v/>
      </c>
      <c r="B60" s="4" t="str">
        <f aca="false">IF($D60="","",IF(ISERROR(FIND(" ",$D60)),"",TRIM(RIGHT(SUBSTITUTE(TRIM($D60)," ",REPT(" ",100)),100))))</f>
        <v/>
      </c>
      <c r="C60" s="4" t="str">
        <f aca="false">IF($D60="","",TRIM(LEFT(TRIM($D60),FIND(" ",TRIM($D60)&amp;" ")-1)))</f>
        <v/>
      </c>
      <c r="D60" s="5"/>
      <c r="E60" s="4" t="str">
        <f aca="false">IF($D60="","",$D60)</f>
        <v/>
      </c>
      <c r="F60" s="5"/>
      <c r="G60" s="6"/>
      <c r="H60" s="7" t="str">
        <f aca="false">IF($G60="","",SUBSTITUTE(SUBSTITUTE(SUBSTITUTE(SUBSTITUTE(SUBSTITUTE(SUBSTITUTE(SUBSTITUTE(TRIM($G60),"+",""),"-","")," ",""),"(",""),")",""),".",""),"/",""))</f>
        <v/>
      </c>
      <c r="I60" s="5"/>
      <c r="J60" s="5"/>
      <c r="K60" s="5"/>
      <c r="L60" s="4" t="str">
        <f aca="false">IF($F60="","",IFERROR(INDEX(Lists!$B$2:$B$200,MATCH($F60,Lists!$A$2:$A$200,0)),"Add to Lists"))</f>
        <v/>
      </c>
      <c r="M60" s="5"/>
      <c r="N60" s="5"/>
    </row>
    <row r="61" customFormat="false" ht="15" hidden="false" customHeight="false" outlineLevel="0" collapsed="false">
      <c r="A61" s="4" t="str">
        <f aca="false">IF($I61="","",$I61)</f>
        <v/>
      </c>
      <c r="B61" s="4" t="str">
        <f aca="false">IF($D61="","",IF(ISERROR(FIND(" ",$D61)),"",TRIM(RIGHT(SUBSTITUTE(TRIM($D61)," ",REPT(" ",100)),100))))</f>
        <v/>
      </c>
      <c r="C61" s="4" t="str">
        <f aca="false">IF($D61="","",TRIM(LEFT(TRIM($D61),FIND(" ",TRIM($D61)&amp;" ")-1)))</f>
        <v/>
      </c>
      <c r="D61" s="5"/>
      <c r="E61" s="4" t="str">
        <f aca="false">IF($D61="","",$D61)</f>
        <v/>
      </c>
      <c r="F61" s="5"/>
      <c r="G61" s="6"/>
      <c r="H61" s="7" t="str">
        <f aca="false">IF($G61="","",SUBSTITUTE(SUBSTITUTE(SUBSTITUTE(SUBSTITUTE(SUBSTITUTE(SUBSTITUTE(SUBSTITUTE(TRIM($G61),"+",""),"-","")," ",""),"(",""),")",""),".",""),"/",""))</f>
        <v/>
      </c>
      <c r="I61" s="5"/>
      <c r="J61" s="5"/>
      <c r="K61" s="5"/>
      <c r="L61" s="4" t="str">
        <f aca="false">IF($F61="","",IFERROR(INDEX(Lists!$B$2:$B$200,MATCH($F61,Lists!$A$2:$A$200,0)),"Add to Lists"))</f>
        <v/>
      </c>
      <c r="M61" s="5"/>
      <c r="N61" s="5"/>
    </row>
    <row r="62" customFormat="false" ht="15" hidden="false" customHeight="false" outlineLevel="0" collapsed="false">
      <c r="A62" s="4" t="str">
        <f aca="false">IF($I62="","",$I62)</f>
        <v/>
      </c>
      <c r="B62" s="4" t="str">
        <f aca="false">IF($D62="","",IF(ISERROR(FIND(" ",$D62)),"",TRIM(RIGHT(SUBSTITUTE(TRIM($D62)," ",REPT(" ",100)),100))))</f>
        <v/>
      </c>
      <c r="C62" s="4" t="str">
        <f aca="false">IF($D62="","",TRIM(LEFT(TRIM($D62),FIND(" ",TRIM($D62)&amp;" ")-1)))</f>
        <v/>
      </c>
      <c r="D62" s="5"/>
      <c r="E62" s="4" t="str">
        <f aca="false">IF($D62="","",$D62)</f>
        <v/>
      </c>
      <c r="F62" s="5"/>
      <c r="G62" s="6"/>
      <c r="H62" s="7" t="str">
        <f aca="false">IF($G62="","",SUBSTITUTE(SUBSTITUTE(SUBSTITUTE(SUBSTITUTE(SUBSTITUTE(SUBSTITUTE(SUBSTITUTE(TRIM($G62),"+",""),"-","")," ",""),"(",""),")",""),".",""),"/",""))</f>
        <v/>
      </c>
      <c r="I62" s="5"/>
      <c r="J62" s="5"/>
      <c r="K62" s="5"/>
      <c r="L62" s="4" t="str">
        <f aca="false">IF($F62="","",IFERROR(INDEX(Lists!$B$2:$B$200,MATCH($F62,Lists!$A$2:$A$200,0)),"Add to Lists"))</f>
        <v/>
      </c>
      <c r="M62" s="5"/>
      <c r="N62" s="5"/>
    </row>
    <row r="63" customFormat="false" ht="15" hidden="false" customHeight="false" outlineLevel="0" collapsed="false">
      <c r="A63" s="4" t="str">
        <f aca="false">IF($I63="","",$I63)</f>
        <v/>
      </c>
      <c r="B63" s="4" t="str">
        <f aca="false">IF($D63="","",IF(ISERROR(FIND(" ",$D63)),"",TRIM(RIGHT(SUBSTITUTE(TRIM($D63)," ",REPT(" ",100)),100))))</f>
        <v/>
      </c>
      <c r="C63" s="4" t="str">
        <f aca="false">IF($D63="","",TRIM(LEFT(TRIM($D63),FIND(" ",TRIM($D63)&amp;" ")-1)))</f>
        <v/>
      </c>
      <c r="D63" s="5"/>
      <c r="E63" s="4" t="str">
        <f aca="false">IF($D63="","",$D63)</f>
        <v/>
      </c>
      <c r="F63" s="5"/>
      <c r="G63" s="6"/>
      <c r="H63" s="7" t="str">
        <f aca="false">IF($G63="","",SUBSTITUTE(SUBSTITUTE(SUBSTITUTE(SUBSTITUTE(SUBSTITUTE(SUBSTITUTE(SUBSTITUTE(TRIM($G63),"+",""),"-","")," ",""),"(",""),")",""),".",""),"/",""))</f>
        <v/>
      </c>
      <c r="I63" s="5"/>
      <c r="J63" s="5"/>
      <c r="K63" s="5"/>
      <c r="L63" s="4" t="str">
        <f aca="false">IF($F63="","",IFERROR(INDEX(Lists!$B$2:$B$200,MATCH($F63,Lists!$A$2:$A$200,0)),"Add to Lists"))</f>
        <v/>
      </c>
      <c r="M63" s="5"/>
      <c r="N63" s="5"/>
    </row>
    <row r="64" customFormat="false" ht="15" hidden="false" customHeight="false" outlineLevel="0" collapsed="false">
      <c r="A64" s="4" t="str">
        <f aca="false">IF($I64="","",$I64)</f>
        <v/>
      </c>
      <c r="B64" s="4" t="str">
        <f aca="false">IF($D64="","",IF(ISERROR(FIND(" ",$D64)),"",TRIM(RIGHT(SUBSTITUTE(TRIM($D64)," ",REPT(" ",100)),100))))</f>
        <v/>
      </c>
      <c r="C64" s="4" t="str">
        <f aca="false">IF($D64="","",TRIM(LEFT(TRIM($D64),FIND(" ",TRIM($D64)&amp;" ")-1)))</f>
        <v/>
      </c>
      <c r="D64" s="5"/>
      <c r="E64" s="4" t="str">
        <f aca="false">IF($D64="","",$D64)</f>
        <v/>
      </c>
      <c r="F64" s="5"/>
      <c r="G64" s="6"/>
      <c r="H64" s="7" t="str">
        <f aca="false">IF($G64="","",SUBSTITUTE(SUBSTITUTE(SUBSTITUTE(SUBSTITUTE(SUBSTITUTE(SUBSTITUTE(SUBSTITUTE(TRIM($G64),"+",""),"-","")," ",""),"(",""),")",""),".",""),"/",""))</f>
        <v/>
      </c>
      <c r="I64" s="5"/>
      <c r="J64" s="5"/>
      <c r="K64" s="5"/>
      <c r="L64" s="4" t="str">
        <f aca="false">IF($F64="","",IFERROR(INDEX(Lists!$B$2:$B$200,MATCH($F64,Lists!$A$2:$A$200,0)),"Add to Lists"))</f>
        <v/>
      </c>
      <c r="M64" s="5"/>
      <c r="N64" s="5"/>
    </row>
    <row r="65" customFormat="false" ht="15" hidden="false" customHeight="false" outlineLevel="0" collapsed="false">
      <c r="A65" s="4" t="str">
        <f aca="false">IF($I65="","",$I65)</f>
        <v/>
      </c>
      <c r="B65" s="4" t="str">
        <f aca="false">IF($D65="","",IF(ISERROR(FIND(" ",$D65)),"",TRIM(RIGHT(SUBSTITUTE(TRIM($D65)," ",REPT(" ",100)),100))))</f>
        <v/>
      </c>
      <c r="C65" s="4" t="str">
        <f aca="false">IF($D65="","",TRIM(LEFT(TRIM($D65),FIND(" ",TRIM($D65)&amp;" ")-1)))</f>
        <v/>
      </c>
      <c r="D65" s="5"/>
      <c r="E65" s="4" t="str">
        <f aca="false">IF($D65="","",$D65)</f>
        <v/>
      </c>
      <c r="F65" s="5"/>
      <c r="G65" s="6"/>
      <c r="H65" s="7" t="str">
        <f aca="false">IF($G65="","",SUBSTITUTE(SUBSTITUTE(SUBSTITUTE(SUBSTITUTE(SUBSTITUTE(SUBSTITUTE(SUBSTITUTE(TRIM($G65),"+",""),"-","")," ",""),"(",""),")",""),".",""),"/",""))</f>
        <v/>
      </c>
      <c r="I65" s="5"/>
      <c r="J65" s="5"/>
      <c r="K65" s="5"/>
      <c r="L65" s="4" t="str">
        <f aca="false">IF($F65="","",IFERROR(INDEX(Lists!$B$2:$B$200,MATCH($F65,Lists!$A$2:$A$200,0)),"Add to Lists"))</f>
        <v/>
      </c>
      <c r="M65" s="5"/>
      <c r="N65" s="5"/>
    </row>
    <row r="66" customFormat="false" ht="15" hidden="false" customHeight="false" outlineLevel="0" collapsed="false">
      <c r="A66" s="4" t="str">
        <f aca="false">IF($I66="","",$I66)</f>
        <v/>
      </c>
      <c r="B66" s="4" t="str">
        <f aca="false">IF($D66="","",IF(ISERROR(FIND(" ",$D66)),"",TRIM(RIGHT(SUBSTITUTE(TRIM($D66)," ",REPT(" ",100)),100))))</f>
        <v/>
      </c>
      <c r="C66" s="4" t="str">
        <f aca="false">IF($D66="","",TRIM(LEFT(TRIM($D66),FIND(" ",TRIM($D66)&amp;" ")-1)))</f>
        <v/>
      </c>
      <c r="D66" s="5"/>
      <c r="E66" s="4" t="str">
        <f aca="false">IF($D66="","",$D66)</f>
        <v/>
      </c>
      <c r="F66" s="5"/>
      <c r="G66" s="6"/>
      <c r="H66" s="7" t="str">
        <f aca="false">IF($G66="","",SUBSTITUTE(SUBSTITUTE(SUBSTITUTE(SUBSTITUTE(SUBSTITUTE(SUBSTITUTE(SUBSTITUTE(TRIM($G66),"+",""),"-","")," ",""),"(",""),")",""),".",""),"/",""))</f>
        <v/>
      </c>
      <c r="I66" s="5"/>
      <c r="J66" s="5"/>
      <c r="K66" s="5"/>
      <c r="L66" s="4" t="str">
        <f aca="false">IF($F66="","",IFERROR(INDEX(Lists!$B$2:$B$200,MATCH($F66,Lists!$A$2:$A$200,0)),"Add to Lists"))</f>
        <v/>
      </c>
      <c r="M66" s="5"/>
      <c r="N66" s="5"/>
    </row>
    <row r="67" customFormat="false" ht="15" hidden="false" customHeight="false" outlineLevel="0" collapsed="false">
      <c r="A67" s="4" t="str">
        <f aca="false">IF($I67="","",$I67)</f>
        <v/>
      </c>
      <c r="B67" s="4" t="str">
        <f aca="false">IF($D67="","",IF(ISERROR(FIND(" ",$D67)),"",TRIM(RIGHT(SUBSTITUTE(TRIM($D67)," ",REPT(" ",100)),100))))</f>
        <v/>
      </c>
      <c r="C67" s="4" t="str">
        <f aca="false">IF($D67="","",TRIM(LEFT(TRIM($D67),FIND(" ",TRIM($D67)&amp;" ")-1)))</f>
        <v/>
      </c>
      <c r="D67" s="5"/>
      <c r="E67" s="4" t="str">
        <f aca="false">IF($D67="","",$D67)</f>
        <v/>
      </c>
      <c r="F67" s="5"/>
      <c r="G67" s="6"/>
      <c r="H67" s="7" t="str">
        <f aca="false">IF($G67="","",SUBSTITUTE(SUBSTITUTE(SUBSTITUTE(SUBSTITUTE(SUBSTITUTE(SUBSTITUTE(SUBSTITUTE(TRIM($G67),"+",""),"-","")," ",""),"(",""),")",""),".",""),"/",""))</f>
        <v/>
      </c>
      <c r="I67" s="5"/>
      <c r="J67" s="5"/>
      <c r="K67" s="5"/>
      <c r="L67" s="4" t="str">
        <f aca="false">IF($F67="","",IFERROR(INDEX(Lists!$B$2:$B$200,MATCH($F67,Lists!$A$2:$A$200,0)),"Add to Lists"))</f>
        <v/>
      </c>
      <c r="M67" s="5"/>
      <c r="N67" s="5"/>
    </row>
    <row r="68" customFormat="false" ht="15" hidden="false" customHeight="false" outlineLevel="0" collapsed="false">
      <c r="A68" s="4" t="str">
        <f aca="false">IF($I68="","",$I68)</f>
        <v/>
      </c>
      <c r="B68" s="4" t="str">
        <f aca="false">IF($D68="","",IF(ISERROR(FIND(" ",$D68)),"",TRIM(RIGHT(SUBSTITUTE(TRIM($D68)," ",REPT(" ",100)),100))))</f>
        <v/>
      </c>
      <c r="C68" s="4" t="str">
        <f aca="false">IF($D68="","",TRIM(LEFT(TRIM($D68),FIND(" ",TRIM($D68)&amp;" ")-1)))</f>
        <v/>
      </c>
      <c r="D68" s="5"/>
      <c r="E68" s="4" t="str">
        <f aca="false">IF($D68="","",$D68)</f>
        <v/>
      </c>
      <c r="F68" s="5"/>
      <c r="G68" s="6"/>
      <c r="H68" s="7" t="str">
        <f aca="false">IF($G68="","",SUBSTITUTE(SUBSTITUTE(SUBSTITUTE(SUBSTITUTE(SUBSTITUTE(SUBSTITUTE(SUBSTITUTE(TRIM($G68),"+",""),"-","")," ",""),"(",""),")",""),".",""),"/",""))</f>
        <v/>
      </c>
      <c r="I68" s="5"/>
      <c r="J68" s="5"/>
      <c r="K68" s="5"/>
      <c r="L68" s="4" t="str">
        <f aca="false">IF($F68="","",IFERROR(INDEX(Lists!$B$2:$B$200,MATCH($F68,Lists!$A$2:$A$200,0)),"Add to Lists"))</f>
        <v/>
      </c>
      <c r="M68" s="5"/>
      <c r="N68" s="5"/>
    </row>
    <row r="69" customFormat="false" ht="15" hidden="false" customHeight="false" outlineLevel="0" collapsed="false">
      <c r="A69" s="4" t="str">
        <f aca="false">IF($I69="","",$I69)</f>
        <v/>
      </c>
      <c r="B69" s="4" t="str">
        <f aca="false">IF($D69="","",IF(ISERROR(FIND(" ",$D69)),"",TRIM(RIGHT(SUBSTITUTE(TRIM($D69)," ",REPT(" ",100)),100))))</f>
        <v/>
      </c>
      <c r="C69" s="4" t="str">
        <f aca="false">IF($D69="","",TRIM(LEFT(TRIM($D69),FIND(" ",TRIM($D69)&amp;" ")-1)))</f>
        <v/>
      </c>
      <c r="D69" s="5"/>
      <c r="E69" s="4" t="str">
        <f aca="false">IF($D69="","",$D69)</f>
        <v/>
      </c>
      <c r="F69" s="5"/>
      <c r="G69" s="6"/>
      <c r="H69" s="7" t="str">
        <f aca="false">IF($G69="","",SUBSTITUTE(SUBSTITUTE(SUBSTITUTE(SUBSTITUTE(SUBSTITUTE(SUBSTITUTE(SUBSTITUTE(TRIM($G69),"+",""),"-","")," ",""),"(",""),")",""),".",""),"/",""))</f>
        <v/>
      </c>
      <c r="I69" s="5"/>
      <c r="J69" s="5"/>
      <c r="K69" s="5"/>
      <c r="L69" s="4" t="str">
        <f aca="false">IF($F69="","",IFERROR(INDEX(Lists!$B$2:$B$200,MATCH($F69,Lists!$A$2:$A$200,0)),"Add to Lists"))</f>
        <v/>
      </c>
      <c r="M69" s="5"/>
      <c r="N69" s="5"/>
    </row>
    <row r="70" customFormat="false" ht="15" hidden="false" customHeight="false" outlineLevel="0" collapsed="false">
      <c r="A70" s="4" t="str">
        <f aca="false">IF($I70="","",$I70)</f>
        <v/>
      </c>
      <c r="B70" s="4" t="str">
        <f aca="false">IF($D70="","",IF(ISERROR(FIND(" ",$D70)),"",TRIM(RIGHT(SUBSTITUTE(TRIM($D70)," ",REPT(" ",100)),100))))</f>
        <v/>
      </c>
      <c r="C70" s="4" t="str">
        <f aca="false">IF($D70="","",TRIM(LEFT(TRIM($D70),FIND(" ",TRIM($D70)&amp;" ")-1)))</f>
        <v/>
      </c>
      <c r="D70" s="5"/>
      <c r="E70" s="4" t="str">
        <f aca="false">IF($D70="","",$D70)</f>
        <v/>
      </c>
      <c r="F70" s="5"/>
      <c r="G70" s="6"/>
      <c r="H70" s="7" t="str">
        <f aca="false">IF($G70="","",SUBSTITUTE(SUBSTITUTE(SUBSTITUTE(SUBSTITUTE(SUBSTITUTE(SUBSTITUTE(SUBSTITUTE(TRIM($G70),"+",""),"-","")," ",""),"(",""),")",""),".",""),"/",""))</f>
        <v/>
      </c>
      <c r="I70" s="5"/>
      <c r="J70" s="5"/>
      <c r="K70" s="5"/>
      <c r="L70" s="4" t="str">
        <f aca="false">IF($F70="","",IFERROR(INDEX(Lists!$B$2:$B$200,MATCH($F70,Lists!$A$2:$A$200,0)),"Add to Lists"))</f>
        <v/>
      </c>
      <c r="M70" s="5"/>
      <c r="N70" s="5"/>
    </row>
    <row r="71" customFormat="false" ht="15" hidden="false" customHeight="false" outlineLevel="0" collapsed="false">
      <c r="A71" s="4" t="str">
        <f aca="false">IF($I71="","",$I71)</f>
        <v/>
      </c>
      <c r="B71" s="4" t="str">
        <f aca="false">IF($D71="","",IF(ISERROR(FIND(" ",$D71)),"",TRIM(RIGHT(SUBSTITUTE(TRIM($D71)," ",REPT(" ",100)),100))))</f>
        <v/>
      </c>
      <c r="C71" s="4" t="str">
        <f aca="false">IF($D71="","",TRIM(LEFT(TRIM($D71),FIND(" ",TRIM($D71)&amp;" ")-1)))</f>
        <v/>
      </c>
      <c r="D71" s="5"/>
      <c r="E71" s="4" t="str">
        <f aca="false">IF($D71="","",$D71)</f>
        <v/>
      </c>
      <c r="F71" s="5"/>
      <c r="G71" s="6"/>
      <c r="H71" s="7" t="str">
        <f aca="false">IF($G71="","",SUBSTITUTE(SUBSTITUTE(SUBSTITUTE(SUBSTITUTE(SUBSTITUTE(SUBSTITUTE(SUBSTITUTE(TRIM($G71),"+",""),"-","")," ",""),"(",""),")",""),".",""),"/",""))</f>
        <v/>
      </c>
      <c r="I71" s="5"/>
      <c r="J71" s="5"/>
      <c r="K71" s="5"/>
      <c r="L71" s="4" t="str">
        <f aca="false">IF($F71="","",IFERROR(INDEX(Lists!$B$2:$B$200,MATCH($F71,Lists!$A$2:$A$200,0)),"Add to Lists"))</f>
        <v/>
      </c>
      <c r="M71" s="5"/>
      <c r="N71" s="5"/>
    </row>
    <row r="72" customFormat="false" ht="15" hidden="false" customHeight="false" outlineLevel="0" collapsed="false">
      <c r="A72" s="4" t="str">
        <f aca="false">IF($I72="","",$I72)</f>
        <v/>
      </c>
      <c r="B72" s="4" t="str">
        <f aca="false">IF($D72="","",IF(ISERROR(FIND(" ",$D72)),"",TRIM(RIGHT(SUBSTITUTE(TRIM($D72)," ",REPT(" ",100)),100))))</f>
        <v/>
      </c>
      <c r="C72" s="4" t="str">
        <f aca="false">IF($D72="","",TRIM(LEFT(TRIM($D72),FIND(" ",TRIM($D72)&amp;" ")-1)))</f>
        <v/>
      </c>
      <c r="D72" s="5"/>
      <c r="E72" s="4" t="str">
        <f aca="false">IF($D72="","",$D72)</f>
        <v/>
      </c>
      <c r="F72" s="5"/>
      <c r="G72" s="6"/>
      <c r="H72" s="7" t="str">
        <f aca="false">IF($G72="","",SUBSTITUTE(SUBSTITUTE(SUBSTITUTE(SUBSTITUTE(SUBSTITUTE(SUBSTITUTE(SUBSTITUTE(TRIM($G72),"+",""),"-","")," ",""),"(",""),")",""),".",""),"/",""))</f>
        <v/>
      </c>
      <c r="I72" s="5"/>
      <c r="J72" s="5"/>
      <c r="K72" s="5"/>
      <c r="L72" s="4" t="str">
        <f aca="false">IF($F72="","",IFERROR(INDEX(Lists!$B$2:$B$200,MATCH($F72,Lists!$A$2:$A$200,0)),"Add to Lists"))</f>
        <v/>
      </c>
      <c r="M72" s="5"/>
      <c r="N72" s="5"/>
    </row>
    <row r="73" customFormat="false" ht="15" hidden="false" customHeight="false" outlineLevel="0" collapsed="false">
      <c r="A73" s="4" t="str">
        <f aca="false">IF($I73="","",$I73)</f>
        <v/>
      </c>
      <c r="B73" s="4" t="str">
        <f aca="false">IF($D73="","",IF(ISERROR(FIND(" ",$D73)),"",TRIM(RIGHT(SUBSTITUTE(TRIM($D73)," ",REPT(" ",100)),100))))</f>
        <v/>
      </c>
      <c r="C73" s="4" t="str">
        <f aca="false">IF($D73="","",TRIM(LEFT(TRIM($D73),FIND(" ",TRIM($D73)&amp;" ")-1)))</f>
        <v/>
      </c>
      <c r="D73" s="5"/>
      <c r="E73" s="4" t="str">
        <f aca="false">IF($D73="","",$D73)</f>
        <v/>
      </c>
      <c r="F73" s="5"/>
      <c r="G73" s="6"/>
      <c r="H73" s="7" t="str">
        <f aca="false">IF($G73="","",SUBSTITUTE(SUBSTITUTE(SUBSTITUTE(SUBSTITUTE(SUBSTITUTE(SUBSTITUTE(SUBSTITUTE(TRIM($G73),"+",""),"-","")," ",""),"(",""),")",""),".",""),"/",""))</f>
        <v/>
      </c>
      <c r="I73" s="5"/>
      <c r="J73" s="5"/>
      <c r="K73" s="5"/>
      <c r="L73" s="4" t="str">
        <f aca="false">IF($F73="","",IFERROR(INDEX(Lists!$B$2:$B$200,MATCH($F73,Lists!$A$2:$A$200,0)),"Add to Lists"))</f>
        <v/>
      </c>
      <c r="M73" s="5"/>
      <c r="N73" s="5"/>
    </row>
    <row r="74" customFormat="false" ht="15" hidden="false" customHeight="false" outlineLevel="0" collapsed="false">
      <c r="A74" s="4" t="str">
        <f aca="false">IF($I74="","",$I74)</f>
        <v/>
      </c>
      <c r="B74" s="4" t="str">
        <f aca="false">IF($D74="","",IF(ISERROR(FIND(" ",$D74)),"",TRIM(RIGHT(SUBSTITUTE(TRIM($D74)," ",REPT(" ",100)),100))))</f>
        <v/>
      </c>
      <c r="C74" s="4" t="str">
        <f aca="false">IF($D74="","",TRIM(LEFT(TRIM($D74),FIND(" ",TRIM($D74)&amp;" ")-1)))</f>
        <v/>
      </c>
      <c r="D74" s="5"/>
      <c r="E74" s="4" t="str">
        <f aca="false">IF($D74="","",$D74)</f>
        <v/>
      </c>
      <c r="F74" s="5"/>
      <c r="G74" s="6"/>
      <c r="H74" s="7" t="str">
        <f aca="false">IF($G74="","",SUBSTITUTE(SUBSTITUTE(SUBSTITUTE(SUBSTITUTE(SUBSTITUTE(SUBSTITUTE(SUBSTITUTE(TRIM($G74),"+",""),"-","")," ",""),"(",""),")",""),".",""),"/",""))</f>
        <v/>
      </c>
      <c r="I74" s="5"/>
      <c r="J74" s="5"/>
      <c r="K74" s="5"/>
      <c r="L74" s="4" t="str">
        <f aca="false">IF($F74="","",IFERROR(INDEX(Lists!$B$2:$B$200,MATCH($F74,Lists!$A$2:$A$200,0)),"Add to Lists"))</f>
        <v/>
      </c>
      <c r="M74" s="5"/>
      <c r="N74" s="5"/>
    </row>
    <row r="75" customFormat="false" ht="15" hidden="false" customHeight="false" outlineLevel="0" collapsed="false">
      <c r="A75" s="4" t="str">
        <f aca="false">IF($I75="","",$I75)</f>
        <v/>
      </c>
      <c r="B75" s="4" t="str">
        <f aca="false">IF($D75="","",IF(ISERROR(FIND(" ",$D75)),"",TRIM(RIGHT(SUBSTITUTE(TRIM($D75)," ",REPT(" ",100)),100))))</f>
        <v/>
      </c>
      <c r="C75" s="4" t="str">
        <f aca="false">IF($D75="","",TRIM(LEFT(TRIM($D75),FIND(" ",TRIM($D75)&amp;" ")-1)))</f>
        <v/>
      </c>
      <c r="D75" s="5"/>
      <c r="E75" s="4" t="str">
        <f aca="false">IF($D75="","",$D75)</f>
        <v/>
      </c>
      <c r="F75" s="5"/>
      <c r="G75" s="6"/>
      <c r="H75" s="7" t="str">
        <f aca="false">IF($G75="","",SUBSTITUTE(SUBSTITUTE(SUBSTITUTE(SUBSTITUTE(SUBSTITUTE(SUBSTITUTE(SUBSTITUTE(TRIM($G75),"+",""),"-","")," ",""),"(",""),")",""),".",""),"/",""))</f>
        <v/>
      </c>
      <c r="I75" s="5"/>
      <c r="J75" s="5"/>
      <c r="K75" s="5"/>
      <c r="L75" s="4" t="str">
        <f aca="false">IF($F75="","",IFERROR(INDEX(Lists!$B$2:$B$200,MATCH($F75,Lists!$A$2:$A$200,0)),"Add to Lists"))</f>
        <v/>
      </c>
      <c r="M75" s="5"/>
      <c r="N75" s="5"/>
    </row>
    <row r="76" customFormat="false" ht="15" hidden="false" customHeight="false" outlineLevel="0" collapsed="false">
      <c r="A76" s="4" t="str">
        <f aca="false">IF($I76="","",$I76)</f>
        <v/>
      </c>
      <c r="B76" s="4" t="str">
        <f aca="false">IF($D76="","",IF(ISERROR(FIND(" ",$D76)),"",TRIM(RIGHT(SUBSTITUTE(TRIM($D76)," ",REPT(" ",100)),100))))</f>
        <v/>
      </c>
      <c r="C76" s="4" t="str">
        <f aca="false">IF($D76="","",TRIM(LEFT(TRIM($D76),FIND(" ",TRIM($D76)&amp;" ")-1)))</f>
        <v/>
      </c>
      <c r="D76" s="5"/>
      <c r="E76" s="4" t="str">
        <f aca="false">IF($D76="","",$D76)</f>
        <v/>
      </c>
      <c r="F76" s="5"/>
      <c r="G76" s="6"/>
      <c r="H76" s="7" t="str">
        <f aca="false">IF($G76="","",SUBSTITUTE(SUBSTITUTE(SUBSTITUTE(SUBSTITUTE(SUBSTITUTE(SUBSTITUTE(SUBSTITUTE(TRIM($G76),"+",""),"-","")," ",""),"(",""),")",""),".",""),"/",""))</f>
        <v/>
      </c>
      <c r="I76" s="5"/>
      <c r="J76" s="5"/>
      <c r="K76" s="5"/>
      <c r="L76" s="4" t="str">
        <f aca="false">IF($F76="","",IFERROR(INDEX(Lists!$B$2:$B$200,MATCH($F76,Lists!$A$2:$A$200,0)),"Add to Lists"))</f>
        <v/>
      </c>
      <c r="M76" s="5"/>
      <c r="N76" s="5"/>
    </row>
    <row r="77" customFormat="false" ht="15" hidden="false" customHeight="false" outlineLevel="0" collapsed="false">
      <c r="A77" s="4" t="str">
        <f aca="false">IF($I77="","",$I77)</f>
        <v/>
      </c>
      <c r="B77" s="4" t="str">
        <f aca="false">IF($D77="","",IF(ISERROR(FIND(" ",$D77)),"",TRIM(RIGHT(SUBSTITUTE(TRIM($D77)," ",REPT(" ",100)),100))))</f>
        <v/>
      </c>
      <c r="C77" s="4" t="str">
        <f aca="false">IF($D77="","",TRIM(LEFT(TRIM($D77),FIND(" ",TRIM($D77)&amp;" ")-1)))</f>
        <v/>
      </c>
      <c r="D77" s="5"/>
      <c r="E77" s="4" t="str">
        <f aca="false">IF($D77="","",$D77)</f>
        <v/>
      </c>
      <c r="F77" s="5"/>
      <c r="G77" s="6"/>
      <c r="H77" s="7" t="str">
        <f aca="false">IF($G77="","",SUBSTITUTE(SUBSTITUTE(SUBSTITUTE(SUBSTITUTE(SUBSTITUTE(SUBSTITUTE(SUBSTITUTE(TRIM($G77),"+",""),"-","")," ",""),"(",""),")",""),".",""),"/",""))</f>
        <v/>
      </c>
      <c r="I77" s="5"/>
      <c r="J77" s="5"/>
      <c r="K77" s="5"/>
      <c r="L77" s="4" t="str">
        <f aca="false">IF($F77="","",IFERROR(INDEX(Lists!$B$2:$B$200,MATCH($F77,Lists!$A$2:$A$200,0)),"Add to Lists"))</f>
        <v/>
      </c>
      <c r="M77" s="5"/>
      <c r="N77" s="5"/>
    </row>
    <row r="78" customFormat="false" ht="15" hidden="false" customHeight="false" outlineLevel="0" collapsed="false">
      <c r="A78" s="4" t="str">
        <f aca="false">IF($I78="","",$I78)</f>
        <v/>
      </c>
      <c r="B78" s="4" t="str">
        <f aca="false">IF($D78="","",IF(ISERROR(FIND(" ",$D78)),"",TRIM(RIGHT(SUBSTITUTE(TRIM($D78)," ",REPT(" ",100)),100))))</f>
        <v/>
      </c>
      <c r="C78" s="4" t="str">
        <f aca="false">IF($D78="","",TRIM(LEFT(TRIM($D78),FIND(" ",TRIM($D78)&amp;" ")-1)))</f>
        <v/>
      </c>
      <c r="D78" s="5"/>
      <c r="E78" s="4" t="str">
        <f aca="false">IF($D78="","",$D78)</f>
        <v/>
      </c>
      <c r="F78" s="5"/>
      <c r="G78" s="6"/>
      <c r="H78" s="7" t="str">
        <f aca="false">IF($G78="","",SUBSTITUTE(SUBSTITUTE(SUBSTITUTE(SUBSTITUTE(SUBSTITUTE(SUBSTITUTE(SUBSTITUTE(TRIM($G78),"+",""),"-","")," ",""),"(",""),")",""),".",""),"/",""))</f>
        <v/>
      </c>
      <c r="I78" s="5"/>
      <c r="J78" s="5"/>
      <c r="K78" s="5"/>
      <c r="L78" s="4" t="str">
        <f aca="false">IF($F78="","",IFERROR(INDEX(Lists!$B$2:$B$200,MATCH($F78,Lists!$A$2:$A$200,0)),"Add to Lists"))</f>
        <v/>
      </c>
      <c r="M78" s="5"/>
      <c r="N78" s="5"/>
    </row>
    <row r="79" customFormat="false" ht="15" hidden="false" customHeight="false" outlineLevel="0" collapsed="false">
      <c r="A79" s="4" t="str">
        <f aca="false">IF($I79="","",$I79)</f>
        <v/>
      </c>
      <c r="B79" s="4" t="str">
        <f aca="false">IF($D79="","",IF(ISERROR(FIND(" ",$D79)),"",TRIM(RIGHT(SUBSTITUTE(TRIM($D79)," ",REPT(" ",100)),100))))</f>
        <v/>
      </c>
      <c r="C79" s="4" t="str">
        <f aca="false">IF($D79="","",TRIM(LEFT(TRIM($D79),FIND(" ",TRIM($D79)&amp;" ")-1)))</f>
        <v/>
      </c>
      <c r="D79" s="5"/>
      <c r="E79" s="4" t="str">
        <f aca="false">IF($D79="","",$D79)</f>
        <v/>
      </c>
      <c r="F79" s="5"/>
      <c r="G79" s="6"/>
      <c r="H79" s="7" t="str">
        <f aca="false">IF($G79="","",SUBSTITUTE(SUBSTITUTE(SUBSTITUTE(SUBSTITUTE(SUBSTITUTE(SUBSTITUTE(SUBSTITUTE(TRIM($G79),"+",""),"-","")," ",""),"(",""),")",""),".",""),"/",""))</f>
        <v/>
      </c>
      <c r="I79" s="5"/>
      <c r="J79" s="5"/>
      <c r="K79" s="5"/>
      <c r="L79" s="4" t="str">
        <f aca="false">IF($F79="","",IFERROR(INDEX(Lists!$B$2:$B$200,MATCH($F79,Lists!$A$2:$A$200,0)),"Add to Lists"))</f>
        <v/>
      </c>
      <c r="M79" s="5"/>
      <c r="N79" s="5"/>
    </row>
    <row r="80" customFormat="false" ht="15" hidden="false" customHeight="false" outlineLevel="0" collapsed="false">
      <c r="A80" s="4" t="str">
        <f aca="false">IF($I80="","",$I80)</f>
        <v/>
      </c>
      <c r="B80" s="4" t="str">
        <f aca="false">IF($D80="","",IF(ISERROR(FIND(" ",$D80)),"",TRIM(RIGHT(SUBSTITUTE(TRIM($D80)," ",REPT(" ",100)),100))))</f>
        <v/>
      </c>
      <c r="C80" s="4" t="str">
        <f aca="false">IF($D80="","",TRIM(LEFT(TRIM($D80),FIND(" ",TRIM($D80)&amp;" ")-1)))</f>
        <v/>
      </c>
      <c r="D80" s="5"/>
      <c r="E80" s="4" t="str">
        <f aca="false">IF($D80="","",$D80)</f>
        <v/>
      </c>
      <c r="F80" s="5"/>
      <c r="G80" s="6"/>
      <c r="H80" s="7" t="str">
        <f aca="false">IF($G80="","",SUBSTITUTE(SUBSTITUTE(SUBSTITUTE(SUBSTITUTE(SUBSTITUTE(SUBSTITUTE(SUBSTITUTE(TRIM($G80),"+",""),"-","")," ",""),"(",""),")",""),".",""),"/",""))</f>
        <v/>
      </c>
      <c r="I80" s="5"/>
      <c r="J80" s="5"/>
      <c r="K80" s="5"/>
      <c r="L80" s="4" t="str">
        <f aca="false">IF($F80="","",IFERROR(INDEX(Lists!$B$2:$B$200,MATCH($F80,Lists!$A$2:$A$200,0)),"Add to Lists"))</f>
        <v/>
      </c>
      <c r="M80" s="5"/>
      <c r="N80" s="5"/>
    </row>
    <row r="81" customFormat="false" ht="15" hidden="false" customHeight="false" outlineLevel="0" collapsed="false">
      <c r="A81" s="4" t="str">
        <f aca="false">IF($I81="","",$I81)</f>
        <v/>
      </c>
      <c r="B81" s="4" t="str">
        <f aca="false">IF($D81="","",IF(ISERROR(FIND(" ",$D81)),"",TRIM(RIGHT(SUBSTITUTE(TRIM($D81)," ",REPT(" ",100)),100))))</f>
        <v/>
      </c>
      <c r="C81" s="4" t="str">
        <f aca="false">IF($D81="","",TRIM(LEFT(TRIM($D81),FIND(" ",TRIM($D81)&amp;" ")-1)))</f>
        <v/>
      </c>
      <c r="D81" s="5"/>
      <c r="E81" s="4" t="str">
        <f aca="false">IF($D81="","",$D81)</f>
        <v/>
      </c>
      <c r="F81" s="5"/>
      <c r="G81" s="6"/>
      <c r="H81" s="7" t="str">
        <f aca="false">IF($G81="","",SUBSTITUTE(SUBSTITUTE(SUBSTITUTE(SUBSTITUTE(SUBSTITUTE(SUBSTITUTE(SUBSTITUTE(TRIM($G81),"+",""),"-","")," ",""),"(",""),")",""),".",""),"/",""))</f>
        <v/>
      </c>
      <c r="I81" s="5"/>
      <c r="J81" s="5"/>
      <c r="K81" s="5"/>
      <c r="L81" s="4" t="str">
        <f aca="false">IF($F81="","",IFERROR(INDEX(Lists!$B$2:$B$200,MATCH($F81,Lists!$A$2:$A$200,0)),"Add to Lists"))</f>
        <v/>
      </c>
      <c r="M81" s="5"/>
      <c r="N81" s="5"/>
    </row>
    <row r="82" customFormat="false" ht="15" hidden="false" customHeight="false" outlineLevel="0" collapsed="false">
      <c r="A82" s="4" t="str">
        <f aca="false">IF($I82="","",$I82)</f>
        <v/>
      </c>
      <c r="B82" s="4" t="str">
        <f aca="false">IF($D82="","",IF(ISERROR(FIND(" ",$D82)),"",TRIM(RIGHT(SUBSTITUTE(TRIM($D82)," ",REPT(" ",100)),100))))</f>
        <v/>
      </c>
      <c r="C82" s="4" t="str">
        <f aca="false">IF($D82="","",TRIM(LEFT(TRIM($D82),FIND(" ",TRIM($D82)&amp;" ")-1)))</f>
        <v/>
      </c>
      <c r="D82" s="5"/>
      <c r="E82" s="4" t="str">
        <f aca="false">IF($D82="","",$D82)</f>
        <v/>
      </c>
      <c r="F82" s="5"/>
      <c r="G82" s="6"/>
      <c r="H82" s="7" t="str">
        <f aca="false">IF($G82="","",SUBSTITUTE(SUBSTITUTE(SUBSTITUTE(SUBSTITUTE(SUBSTITUTE(SUBSTITUTE(SUBSTITUTE(TRIM($G82),"+",""),"-","")," ",""),"(",""),")",""),".",""),"/",""))</f>
        <v/>
      </c>
      <c r="I82" s="5"/>
      <c r="J82" s="5"/>
      <c r="K82" s="5"/>
      <c r="L82" s="4" t="str">
        <f aca="false">IF($F82="","",IFERROR(INDEX(Lists!$B$2:$B$200,MATCH($F82,Lists!$A$2:$A$200,0)),"Add to Lists"))</f>
        <v/>
      </c>
      <c r="M82" s="5"/>
      <c r="N82" s="5"/>
    </row>
    <row r="83" customFormat="false" ht="15" hidden="false" customHeight="false" outlineLevel="0" collapsed="false">
      <c r="A83" s="4" t="str">
        <f aca="false">IF($I83="","",$I83)</f>
        <v/>
      </c>
      <c r="B83" s="4" t="str">
        <f aca="false">IF($D83="","",IF(ISERROR(FIND(" ",$D83)),"",TRIM(RIGHT(SUBSTITUTE(TRIM($D83)," ",REPT(" ",100)),100))))</f>
        <v/>
      </c>
      <c r="C83" s="4" t="str">
        <f aca="false">IF($D83="","",TRIM(LEFT(TRIM($D83),FIND(" ",TRIM($D83)&amp;" ")-1)))</f>
        <v/>
      </c>
      <c r="D83" s="5"/>
      <c r="E83" s="4" t="str">
        <f aca="false">IF($D83="","",$D83)</f>
        <v/>
      </c>
      <c r="F83" s="5"/>
      <c r="G83" s="6"/>
      <c r="H83" s="7" t="str">
        <f aca="false">IF($G83="","",SUBSTITUTE(SUBSTITUTE(SUBSTITUTE(SUBSTITUTE(SUBSTITUTE(SUBSTITUTE(SUBSTITUTE(TRIM($G83),"+",""),"-","")," ",""),"(",""),")",""),".",""),"/",""))</f>
        <v/>
      </c>
      <c r="I83" s="5"/>
      <c r="J83" s="5"/>
      <c r="K83" s="5"/>
      <c r="L83" s="4" t="str">
        <f aca="false">IF($F83="","",IFERROR(INDEX(Lists!$B$2:$B$200,MATCH($F83,Lists!$A$2:$A$200,0)),"Add to Lists"))</f>
        <v/>
      </c>
      <c r="M83" s="5"/>
      <c r="N83" s="5"/>
    </row>
    <row r="84" customFormat="false" ht="15" hidden="false" customHeight="false" outlineLevel="0" collapsed="false">
      <c r="A84" s="4" t="str">
        <f aca="false">IF($I84="","",$I84)</f>
        <v/>
      </c>
      <c r="B84" s="4" t="str">
        <f aca="false">IF($D84="","",IF(ISERROR(FIND(" ",$D84)),"",TRIM(RIGHT(SUBSTITUTE(TRIM($D84)," ",REPT(" ",100)),100))))</f>
        <v/>
      </c>
      <c r="C84" s="4" t="str">
        <f aca="false">IF($D84="","",TRIM(LEFT(TRIM($D84),FIND(" ",TRIM($D84)&amp;" ")-1)))</f>
        <v/>
      </c>
      <c r="D84" s="5"/>
      <c r="E84" s="4" t="str">
        <f aca="false">IF($D84="","",$D84)</f>
        <v/>
      </c>
      <c r="F84" s="5"/>
      <c r="G84" s="6"/>
      <c r="H84" s="7" t="str">
        <f aca="false">IF($G84="","",SUBSTITUTE(SUBSTITUTE(SUBSTITUTE(SUBSTITUTE(SUBSTITUTE(SUBSTITUTE(SUBSTITUTE(TRIM($G84),"+",""),"-","")," ",""),"(",""),")",""),".",""),"/",""))</f>
        <v/>
      </c>
      <c r="I84" s="5"/>
      <c r="J84" s="5"/>
      <c r="K84" s="5"/>
      <c r="L84" s="4" t="str">
        <f aca="false">IF($F84="","",IFERROR(INDEX(Lists!$B$2:$B$200,MATCH($F84,Lists!$A$2:$A$200,0)),"Add to Lists"))</f>
        <v/>
      </c>
      <c r="M84" s="5"/>
      <c r="N84" s="5"/>
    </row>
    <row r="85" customFormat="false" ht="15" hidden="false" customHeight="false" outlineLevel="0" collapsed="false">
      <c r="A85" s="4" t="str">
        <f aca="false">IF($I85="","",$I85)</f>
        <v/>
      </c>
      <c r="B85" s="4" t="str">
        <f aca="false">IF($D85="","",IF(ISERROR(FIND(" ",$D85)),"",TRIM(RIGHT(SUBSTITUTE(TRIM($D85)," ",REPT(" ",100)),100))))</f>
        <v/>
      </c>
      <c r="C85" s="4" t="str">
        <f aca="false">IF($D85="","",TRIM(LEFT(TRIM($D85),FIND(" ",TRIM($D85)&amp;" ")-1)))</f>
        <v/>
      </c>
      <c r="D85" s="5"/>
      <c r="E85" s="4" t="str">
        <f aca="false">IF($D85="","",$D85)</f>
        <v/>
      </c>
      <c r="F85" s="5"/>
      <c r="G85" s="6"/>
      <c r="H85" s="7" t="str">
        <f aca="false">IF($G85="","",SUBSTITUTE(SUBSTITUTE(SUBSTITUTE(SUBSTITUTE(SUBSTITUTE(SUBSTITUTE(SUBSTITUTE(TRIM($G85),"+",""),"-","")," ",""),"(",""),")",""),".",""),"/",""))</f>
        <v/>
      </c>
      <c r="I85" s="5"/>
      <c r="J85" s="5"/>
      <c r="K85" s="5"/>
      <c r="L85" s="4" t="str">
        <f aca="false">IF($F85="","",IFERROR(INDEX(Lists!$B$2:$B$200,MATCH($F85,Lists!$A$2:$A$200,0)),"Add to Lists"))</f>
        <v/>
      </c>
      <c r="M85" s="5"/>
      <c r="N85" s="5"/>
    </row>
    <row r="86" customFormat="false" ht="15" hidden="false" customHeight="false" outlineLevel="0" collapsed="false">
      <c r="A86" s="4" t="str">
        <f aca="false">IF($I86="","",$I86)</f>
        <v/>
      </c>
      <c r="B86" s="4" t="str">
        <f aca="false">IF($D86="","",IF(ISERROR(FIND(" ",$D86)),"",TRIM(RIGHT(SUBSTITUTE(TRIM($D86)," ",REPT(" ",100)),100))))</f>
        <v/>
      </c>
      <c r="C86" s="4" t="str">
        <f aca="false">IF($D86="","",TRIM(LEFT(TRIM($D86),FIND(" ",TRIM($D86)&amp;" ")-1)))</f>
        <v/>
      </c>
      <c r="D86" s="5"/>
      <c r="E86" s="4" t="str">
        <f aca="false">IF($D86="","",$D86)</f>
        <v/>
      </c>
      <c r="F86" s="5"/>
      <c r="G86" s="6"/>
      <c r="H86" s="7" t="str">
        <f aca="false">IF($G86="","",SUBSTITUTE(SUBSTITUTE(SUBSTITUTE(SUBSTITUTE(SUBSTITUTE(SUBSTITUTE(SUBSTITUTE(TRIM($G86),"+",""),"-","")," ",""),"(",""),")",""),".",""),"/",""))</f>
        <v/>
      </c>
      <c r="I86" s="5"/>
      <c r="J86" s="5"/>
      <c r="K86" s="5"/>
      <c r="L86" s="4" t="str">
        <f aca="false">IF($F86="","",IFERROR(INDEX(Lists!$B$2:$B$200,MATCH($F86,Lists!$A$2:$A$200,0)),"Add to Lists"))</f>
        <v/>
      </c>
      <c r="M86" s="5"/>
      <c r="N86" s="5"/>
    </row>
    <row r="87" customFormat="false" ht="15" hidden="false" customHeight="false" outlineLevel="0" collapsed="false">
      <c r="A87" s="4" t="str">
        <f aca="false">IF($I87="","",$I87)</f>
        <v/>
      </c>
      <c r="B87" s="4" t="str">
        <f aca="false">IF($D87="","",IF(ISERROR(FIND(" ",$D87)),"",TRIM(RIGHT(SUBSTITUTE(TRIM($D87)," ",REPT(" ",100)),100))))</f>
        <v/>
      </c>
      <c r="C87" s="4" t="str">
        <f aca="false">IF($D87="","",TRIM(LEFT(TRIM($D87),FIND(" ",TRIM($D87)&amp;" ")-1)))</f>
        <v/>
      </c>
      <c r="D87" s="5"/>
      <c r="E87" s="4" t="str">
        <f aca="false">IF($D87="","",$D87)</f>
        <v/>
      </c>
      <c r="F87" s="5"/>
      <c r="G87" s="6"/>
      <c r="H87" s="7" t="str">
        <f aca="false">IF($G87="","",SUBSTITUTE(SUBSTITUTE(SUBSTITUTE(SUBSTITUTE(SUBSTITUTE(SUBSTITUTE(SUBSTITUTE(TRIM($G87),"+",""),"-","")," ",""),"(",""),")",""),".",""),"/",""))</f>
        <v/>
      </c>
      <c r="I87" s="5"/>
      <c r="J87" s="5"/>
      <c r="K87" s="5"/>
      <c r="L87" s="4" t="str">
        <f aca="false">IF($F87="","",IFERROR(INDEX(Lists!$B$2:$B$200,MATCH($F87,Lists!$A$2:$A$200,0)),"Add to Lists"))</f>
        <v/>
      </c>
      <c r="M87" s="5"/>
      <c r="N87" s="5"/>
    </row>
    <row r="88" customFormat="false" ht="15" hidden="false" customHeight="false" outlineLevel="0" collapsed="false">
      <c r="A88" s="4" t="str">
        <f aca="false">IF($I88="","",$I88)</f>
        <v/>
      </c>
      <c r="B88" s="4" t="str">
        <f aca="false">IF($D88="","",IF(ISERROR(FIND(" ",$D88)),"",TRIM(RIGHT(SUBSTITUTE(TRIM($D88)," ",REPT(" ",100)),100))))</f>
        <v/>
      </c>
      <c r="C88" s="4" t="str">
        <f aca="false">IF($D88="","",TRIM(LEFT(TRIM($D88),FIND(" ",TRIM($D88)&amp;" ")-1)))</f>
        <v/>
      </c>
      <c r="D88" s="5"/>
      <c r="E88" s="4" t="str">
        <f aca="false">IF($D88="","",$D88)</f>
        <v/>
      </c>
      <c r="F88" s="5"/>
      <c r="G88" s="6"/>
      <c r="H88" s="7" t="str">
        <f aca="false">IF($G88="","",SUBSTITUTE(SUBSTITUTE(SUBSTITUTE(SUBSTITUTE(SUBSTITUTE(SUBSTITUTE(SUBSTITUTE(TRIM($G88),"+",""),"-","")," ",""),"(",""),")",""),".",""),"/",""))</f>
        <v/>
      </c>
      <c r="I88" s="5"/>
      <c r="J88" s="5"/>
      <c r="K88" s="5"/>
      <c r="L88" s="4" t="str">
        <f aca="false">IF($F88="","",IFERROR(INDEX(Lists!$B$2:$B$200,MATCH($F88,Lists!$A$2:$A$200,0)),"Add to Lists"))</f>
        <v/>
      </c>
      <c r="M88" s="5"/>
      <c r="N88" s="5"/>
    </row>
    <row r="89" customFormat="false" ht="15" hidden="false" customHeight="false" outlineLevel="0" collapsed="false">
      <c r="A89" s="4" t="str">
        <f aca="false">IF($I89="","",$I89)</f>
        <v/>
      </c>
      <c r="B89" s="4" t="str">
        <f aca="false">IF($D89="","",IF(ISERROR(FIND(" ",$D89)),"",TRIM(RIGHT(SUBSTITUTE(TRIM($D89)," ",REPT(" ",100)),100))))</f>
        <v/>
      </c>
      <c r="C89" s="4" t="str">
        <f aca="false">IF($D89="","",TRIM(LEFT(TRIM($D89),FIND(" ",TRIM($D89)&amp;" ")-1)))</f>
        <v/>
      </c>
      <c r="D89" s="5"/>
      <c r="E89" s="4" t="str">
        <f aca="false">IF($D89="","",$D89)</f>
        <v/>
      </c>
      <c r="F89" s="5"/>
      <c r="G89" s="6"/>
      <c r="H89" s="7" t="str">
        <f aca="false">IF($G89="","",SUBSTITUTE(SUBSTITUTE(SUBSTITUTE(SUBSTITUTE(SUBSTITUTE(SUBSTITUTE(SUBSTITUTE(TRIM($G89),"+",""),"-","")," ",""),"(",""),")",""),".",""),"/",""))</f>
        <v/>
      </c>
      <c r="I89" s="5"/>
      <c r="J89" s="5"/>
      <c r="K89" s="5"/>
      <c r="L89" s="4" t="str">
        <f aca="false">IF($F89="","",IFERROR(INDEX(Lists!$B$2:$B$200,MATCH($F89,Lists!$A$2:$A$200,0)),"Add to Lists"))</f>
        <v/>
      </c>
      <c r="M89" s="5"/>
      <c r="N89" s="5"/>
    </row>
    <row r="90" customFormat="false" ht="15" hidden="false" customHeight="false" outlineLevel="0" collapsed="false">
      <c r="A90" s="4" t="str">
        <f aca="false">IF($I90="","",$I90)</f>
        <v/>
      </c>
      <c r="B90" s="4" t="str">
        <f aca="false">IF($D90="","",IF(ISERROR(FIND(" ",$D90)),"",TRIM(RIGHT(SUBSTITUTE(TRIM($D90)," ",REPT(" ",100)),100))))</f>
        <v/>
      </c>
      <c r="C90" s="4" t="str">
        <f aca="false">IF($D90="","",TRIM(LEFT(TRIM($D90),FIND(" ",TRIM($D90)&amp;" ")-1)))</f>
        <v/>
      </c>
      <c r="D90" s="5"/>
      <c r="E90" s="4" t="str">
        <f aca="false">IF($D90="","",$D90)</f>
        <v/>
      </c>
      <c r="F90" s="5"/>
      <c r="G90" s="6"/>
      <c r="H90" s="7" t="str">
        <f aca="false">IF($G90="","",SUBSTITUTE(SUBSTITUTE(SUBSTITUTE(SUBSTITUTE(SUBSTITUTE(SUBSTITUTE(SUBSTITUTE(TRIM($G90),"+",""),"-","")," ",""),"(",""),")",""),".",""),"/",""))</f>
        <v/>
      </c>
      <c r="I90" s="5"/>
      <c r="J90" s="5"/>
      <c r="K90" s="5"/>
      <c r="L90" s="4" t="str">
        <f aca="false">IF($F90="","",IFERROR(INDEX(Lists!$B$2:$B$200,MATCH($F90,Lists!$A$2:$A$200,0)),"Add to Lists"))</f>
        <v/>
      </c>
      <c r="M90" s="5"/>
      <c r="N90" s="5"/>
    </row>
    <row r="91" customFormat="false" ht="15" hidden="false" customHeight="false" outlineLevel="0" collapsed="false">
      <c r="A91" s="4" t="str">
        <f aca="false">IF($I91="","",$I91)</f>
        <v/>
      </c>
      <c r="B91" s="4" t="str">
        <f aca="false">IF($D91="","",IF(ISERROR(FIND(" ",$D91)),"",TRIM(RIGHT(SUBSTITUTE(TRIM($D91)," ",REPT(" ",100)),100))))</f>
        <v/>
      </c>
      <c r="C91" s="4" t="str">
        <f aca="false">IF($D91="","",TRIM(LEFT(TRIM($D91),FIND(" ",TRIM($D91)&amp;" ")-1)))</f>
        <v/>
      </c>
      <c r="D91" s="5"/>
      <c r="E91" s="4" t="str">
        <f aca="false">IF($D91="","",$D91)</f>
        <v/>
      </c>
      <c r="F91" s="5"/>
      <c r="G91" s="6"/>
      <c r="H91" s="7" t="str">
        <f aca="false">IF($G91="","",SUBSTITUTE(SUBSTITUTE(SUBSTITUTE(SUBSTITUTE(SUBSTITUTE(SUBSTITUTE(SUBSTITUTE(TRIM($G91),"+",""),"-","")," ",""),"(",""),")",""),".",""),"/",""))</f>
        <v/>
      </c>
      <c r="I91" s="5"/>
      <c r="J91" s="5"/>
      <c r="K91" s="5"/>
      <c r="L91" s="4" t="str">
        <f aca="false">IF($F91="","",IFERROR(INDEX(Lists!$B$2:$B$200,MATCH($F91,Lists!$A$2:$A$200,0)),"Add to Lists"))</f>
        <v/>
      </c>
      <c r="M91" s="5"/>
      <c r="N91" s="5"/>
    </row>
    <row r="92" customFormat="false" ht="15" hidden="false" customHeight="false" outlineLevel="0" collapsed="false">
      <c r="A92" s="4" t="str">
        <f aca="false">IF($I92="","",$I92)</f>
        <v/>
      </c>
      <c r="B92" s="4" t="str">
        <f aca="false">IF($D92="","",IF(ISERROR(FIND(" ",$D92)),"",TRIM(RIGHT(SUBSTITUTE(TRIM($D92)," ",REPT(" ",100)),100))))</f>
        <v/>
      </c>
      <c r="C92" s="4" t="str">
        <f aca="false">IF($D92="","",TRIM(LEFT(TRIM($D92),FIND(" ",TRIM($D92)&amp;" ")-1)))</f>
        <v/>
      </c>
      <c r="D92" s="5"/>
      <c r="E92" s="4" t="str">
        <f aca="false">IF($D92="","",$D92)</f>
        <v/>
      </c>
      <c r="F92" s="5"/>
      <c r="G92" s="6"/>
      <c r="H92" s="7" t="str">
        <f aca="false">IF($G92="","",SUBSTITUTE(SUBSTITUTE(SUBSTITUTE(SUBSTITUTE(SUBSTITUTE(SUBSTITUTE(SUBSTITUTE(TRIM($G92),"+",""),"-","")," ",""),"(",""),")",""),".",""),"/",""))</f>
        <v/>
      </c>
      <c r="I92" s="5"/>
      <c r="J92" s="5"/>
      <c r="K92" s="5"/>
      <c r="L92" s="4" t="str">
        <f aca="false">IF($F92="","",IFERROR(INDEX(Lists!$B$2:$B$200,MATCH($F92,Lists!$A$2:$A$200,0)),"Add to Lists"))</f>
        <v/>
      </c>
      <c r="M92" s="5"/>
      <c r="N92" s="5"/>
    </row>
    <row r="93" customFormat="false" ht="15" hidden="false" customHeight="false" outlineLevel="0" collapsed="false">
      <c r="A93" s="4" t="str">
        <f aca="false">IF($I93="","",$I93)</f>
        <v/>
      </c>
      <c r="B93" s="4" t="str">
        <f aca="false">IF($D93="","",IF(ISERROR(FIND(" ",$D93)),"",TRIM(RIGHT(SUBSTITUTE(TRIM($D93)," ",REPT(" ",100)),100))))</f>
        <v/>
      </c>
      <c r="C93" s="4" t="str">
        <f aca="false">IF($D93="","",TRIM(LEFT(TRIM($D93),FIND(" ",TRIM($D93)&amp;" ")-1)))</f>
        <v/>
      </c>
      <c r="D93" s="5"/>
      <c r="E93" s="4" t="str">
        <f aca="false">IF($D93="","",$D93)</f>
        <v/>
      </c>
      <c r="F93" s="5"/>
      <c r="G93" s="6"/>
      <c r="H93" s="7" t="str">
        <f aca="false">IF($G93="","",SUBSTITUTE(SUBSTITUTE(SUBSTITUTE(SUBSTITUTE(SUBSTITUTE(SUBSTITUTE(SUBSTITUTE(TRIM($G93),"+",""),"-","")," ",""),"(",""),")",""),".",""),"/",""))</f>
        <v/>
      </c>
      <c r="I93" s="5"/>
      <c r="J93" s="5"/>
      <c r="K93" s="5"/>
      <c r="L93" s="4" t="str">
        <f aca="false">IF($F93="","",IFERROR(INDEX(Lists!$B$2:$B$200,MATCH($F93,Lists!$A$2:$A$200,0)),"Add to Lists"))</f>
        <v/>
      </c>
      <c r="M93" s="5"/>
      <c r="N93" s="5"/>
    </row>
    <row r="94" customFormat="false" ht="15" hidden="false" customHeight="false" outlineLevel="0" collapsed="false">
      <c r="A94" s="4" t="str">
        <f aca="false">IF($I94="","",$I94)</f>
        <v/>
      </c>
      <c r="B94" s="4" t="str">
        <f aca="false">IF($D94="","",IF(ISERROR(FIND(" ",$D94)),"",TRIM(RIGHT(SUBSTITUTE(TRIM($D94)," ",REPT(" ",100)),100))))</f>
        <v/>
      </c>
      <c r="C94" s="4" t="str">
        <f aca="false">IF($D94="","",TRIM(LEFT(TRIM($D94),FIND(" ",TRIM($D94)&amp;" ")-1)))</f>
        <v/>
      </c>
      <c r="D94" s="5"/>
      <c r="E94" s="4" t="str">
        <f aca="false">IF($D94="","",$D94)</f>
        <v/>
      </c>
      <c r="F94" s="5"/>
      <c r="G94" s="6"/>
      <c r="H94" s="7" t="str">
        <f aca="false">IF($G94="","",SUBSTITUTE(SUBSTITUTE(SUBSTITUTE(SUBSTITUTE(SUBSTITUTE(SUBSTITUTE(SUBSTITUTE(TRIM($G94),"+",""),"-","")," ",""),"(",""),")",""),".",""),"/",""))</f>
        <v/>
      </c>
      <c r="I94" s="5"/>
      <c r="J94" s="5"/>
      <c r="K94" s="5"/>
      <c r="L94" s="4" t="str">
        <f aca="false">IF($F94="","",IFERROR(INDEX(Lists!$B$2:$B$200,MATCH($F94,Lists!$A$2:$A$200,0)),"Add to Lists"))</f>
        <v/>
      </c>
      <c r="M94" s="5"/>
      <c r="N94" s="5"/>
    </row>
    <row r="95" customFormat="false" ht="15" hidden="false" customHeight="false" outlineLevel="0" collapsed="false">
      <c r="A95" s="4" t="str">
        <f aca="false">IF($I95="","",$I95)</f>
        <v/>
      </c>
      <c r="B95" s="4" t="str">
        <f aca="false">IF($D95="","",IF(ISERROR(FIND(" ",$D95)),"",TRIM(RIGHT(SUBSTITUTE(TRIM($D95)," ",REPT(" ",100)),100))))</f>
        <v/>
      </c>
      <c r="C95" s="4" t="str">
        <f aca="false">IF($D95="","",TRIM(LEFT(TRIM($D95),FIND(" ",TRIM($D95)&amp;" ")-1)))</f>
        <v/>
      </c>
      <c r="D95" s="5"/>
      <c r="E95" s="4" t="str">
        <f aca="false">IF($D95="","",$D95)</f>
        <v/>
      </c>
      <c r="F95" s="5"/>
      <c r="G95" s="6"/>
      <c r="H95" s="7" t="str">
        <f aca="false">IF($G95="","",SUBSTITUTE(SUBSTITUTE(SUBSTITUTE(SUBSTITUTE(SUBSTITUTE(SUBSTITUTE(SUBSTITUTE(TRIM($G95),"+",""),"-","")," ",""),"(",""),")",""),".",""),"/",""))</f>
        <v/>
      </c>
      <c r="I95" s="5"/>
      <c r="J95" s="5"/>
      <c r="K95" s="5"/>
      <c r="L95" s="4" t="str">
        <f aca="false">IF($F95="","",IFERROR(INDEX(Lists!$B$2:$B$200,MATCH($F95,Lists!$A$2:$A$200,0)),"Add to Lists"))</f>
        <v/>
      </c>
      <c r="M95" s="5"/>
      <c r="N95" s="5"/>
    </row>
    <row r="96" customFormat="false" ht="15" hidden="false" customHeight="false" outlineLevel="0" collapsed="false">
      <c r="A96" s="4" t="str">
        <f aca="false">IF($I96="","",$I96)</f>
        <v/>
      </c>
      <c r="B96" s="4" t="str">
        <f aca="false">IF($D96="","",IF(ISERROR(FIND(" ",$D96)),"",TRIM(RIGHT(SUBSTITUTE(TRIM($D96)," ",REPT(" ",100)),100))))</f>
        <v/>
      </c>
      <c r="C96" s="4" t="str">
        <f aca="false">IF($D96="","",TRIM(LEFT(TRIM($D96),FIND(" ",TRIM($D96)&amp;" ")-1)))</f>
        <v/>
      </c>
      <c r="D96" s="5"/>
      <c r="E96" s="4" t="str">
        <f aca="false">IF($D96="","",$D96)</f>
        <v/>
      </c>
      <c r="F96" s="5"/>
      <c r="G96" s="6"/>
      <c r="H96" s="7" t="str">
        <f aca="false">IF($G96="","",SUBSTITUTE(SUBSTITUTE(SUBSTITUTE(SUBSTITUTE(SUBSTITUTE(SUBSTITUTE(SUBSTITUTE(TRIM($G96),"+",""),"-","")," ",""),"(",""),")",""),".",""),"/",""))</f>
        <v/>
      </c>
      <c r="I96" s="5"/>
      <c r="J96" s="5"/>
      <c r="K96" s="5"/>
      <c r="L96" s="4" t="str">
        <f aca="false">IF($F96="","",IFERROR(INDEX(Lists!$B$2:$B$200,MATCH($F96,Lists!$A$2:$A$200,0)),"Add to Lists"))</f>
        <v/>
      </c>
      <c r="M96" s="5"/>
      <c r="N96" s="5"/>
    </row>
    <row r="97" customFormat="false" ht="15" hidden="false" customHeight="false" outlineLevel="0" collapsed="false">
      <c r="A97" s="4" t="str">
        <f aca="false">IF($I97="","",$I97)</f>
        <v/>
      </c>
      <c r="B97" s="4" t="str">
        <f aca="false">IF($D97="","",IF(ISERROR(FIND(" ",$D97)),"",TRIM(RIGHT(SUBSTITUTE(TRIM($D97)," ",REPT(" ",100)),100))))</f>
        <v/>
      </c>
      <c r="C97" s="4" t="str">
        <f aca="false">IF($D97="","",TRIM(LEFT(TRIM($D97),FIND(" ",TRIM($D97)&amp;" ")-1)))</f>
        <v/>
      </c>
      <c r="D97" s="5"/>
      <c r="E97" s="4" t="str">
        <f aca="false">IF($D97="","",$D97)</f>
        <v/>
      </c>
      <c r="F97" s="5"/>
      <c r="G97" s="6"/>
      <c r="H97" s="7" t="str">
        <f aca="false">IF($G97="","",SUBSTITUTE(SUBSTITUTE(SUBSTITUTE(SUBSTITUTE(SUBSTITUTE(SUBSTITUTE(SUBSTITUTE(TRIM($G97),"+",""),"-","")," ",""),"(",""),")",""),".",""),"/",""))</f>
        <v/>
      </c>
      <c r="I97" s="5"/>
      <c r="J97" s="5"/>
      <c r="K97" s="5"/>
      <c r="L97" s="4" t="str">
        <f aca="false">IF($F97="","",IFERROR(INDEX(Lists!$B$2:$B$200,MATCH($F97,Lists!$A$2:$A$200,0)),"Add to Lists"))</f>
        <v/>
      </c>
      <c r="M97" s="5"/>
      <c r="N97" s="5"/>
    </row>
    <row r="98" customFormat="false" ht="15" hidden="false" customHeight="false" outlineLevel="0" collapsed="false">
      <c r="A98" s="4" t="str">
        <f aca="false">IF($I98="","",$I98)</f>
        <v/>
      </c>
      <c r="B98" s="4" t="str">
        <f aca="false">IF($D98="","",IF(ISERROR(FIND(" ",$D98)),"",TRIM(RIGHT(SUBSTITUTE(TRIM($D98)," ",REPT(" ",100)),100))))</f>
        <v/>
      </c>
      <c r="C98" s="4" t="str">
        <f aca="false">IF($D98="","",TRIM(LEFT(TRIM($D98),FIND(" ",TRIM($D98)&amp;" ")-1)))</f>
        <v/>
      </c>
      <c r="D98" s="5"/>
      <c r="E98" s="4" t="str">
        <f aca="false">IF($D98="","",$D98)</f>
        <v/>
      </c>
      <c r="F98" s="5"/>
      <c r="G98" s="6"/>
      <c r="H98" s="7" t="str">
        <f aca="false">IF($G98="","",SUBSTITUTE(SUBSTITUTE(SUBSTITUTE(SUBSTITUTE(SUBSTITUTE(SUBSTITUTE(SUBSTITUTE(TRIM($G98),"+",""),"-","")," ",""),"(",""),")",""),".",""),"/",""))</f>
        <v/>
      </c>
      <c r="I98" s="5"/>
      <c r="J98" s="5"/>
      <c r="K98" s="5"/>
      <c r="L98" s="4" t="str">
        <f aca="false">IF($F98="","",IFERROR(INDEX(Lists!$B$2:$B$200,MATCH($F98,Lists!$A$2:$A$200,0)),"Add to Lists"))</f>
        <v/>
      </c>
      <c r="M98" s="5"/>
      <c r="N98" s="5"/>
    </row>
    <row r="99" customFormat="false" ht="15" hidden="false" customHeight="false" outlineLevel="0" collapsed="false">
      <c r="A99" s="4" t="str">
        <f aca="false">IF($I99="","",$I99)</f>
        <v/>
      </c>
      <c r="B99" s="4" t="str">
        <f aca="false">IF($D99="","",IF(ISERROR(FIND(" ",$D99)),"",TRIM(RIGHT(SUBSTITUTE(TRIM($D99)," ",REPT(" ",100)),100))))</f>
        <v/>
      </c>
      <c r="C99" s="4" t="str">
        <f aca="false">IF($D99="","",TRIM(LEFT(TRIM($D99),FIND(" ",TRIM($D99)&amp;" ")-1)))</f>
        <v/>
      </c>
      <c r="D99" s="5"/>
      <c r="E99" s="4" t="str">
        <f aca="false">IF($D99="","",$D99)</f>
        <v/>
      </c>
      <c r="F99" s="5"/>
      <c r="G99" s="6"/>
      <c r="H99" s="7" t="str">
        <f aca="false">IF($G99="","",SUBSTITUTE(SUBSTITUTE(SUBSTITUTE(SUBSTITUTE(SUBSTITUTE(SUBSTITUTE(SUBSTITUTE(TRIM($G99),"+",""),"-","")," ",""),"(",""),")",""),".",""),"/",""))</f>
        <v/>
      </c>
      <c r="I99" s="5"/>
      <c r="J99" s="5"/>
      <c r="K99" s="5"/>
      <c r="L99" s="4" t="str">
        <f aca="false">IF($F99="","",IFERROR(INDEX(Lists!$B$2:$B$200,MATCH($F99,Lists!$A$2:$A$200,0)),"Add to Lists"))</f>
        <v/>
      </c>
      <c r="M99" s="5"/>
      <c r="N99" s="5"/>
    </row>
    <row r="100" customFormat="false" ht="15" hidden="false" customHeight="false" outlineLevel="0" collapsed="false">
      <c r="A100" s="4" t="str">
        <f aca="false">IF($I100="","",$I100)</f>
        <v/>
      </c>
      <c r="B100" s="4" t="str">
        <f aca="false">IF($D100="","",IF(ISERROR(FIND(" ",$D100)),"",TRIM(RIGHT(SUBSTITUTE(TRIM($D100)," ",REPT(" ",100)),100))))</f>
        <v/>
      </c>
      <c r="C100" s="4" t="str">
        <f aca="false">IF($D100="","",TRIM(LEFT(TRIM($D100),FIND(" ",TRIM($D100)&amp;" ")-1)))</f>
        <v/>
      </c>
      <c r="D100" s="5"/>
      <c r="E100" s="4" t="str">
        <f aca="false">IF($D100="","",$D100)</f>
        <v/>
      </c>
      <c r="F100" s="5"/>
      <c r="G100" s="6"/>
      <c r="H100" s="7" t="str">
        <f aca="false">IF($G100="","",SUBSTITUTE(SUBSTITUTE(SUBSTITUTE(SUBSTITUTE(SUBSTITUTE(SUBSTITUTE(SUBSTITUTE(TRIM($G100),"+",""),"-","")," ",""),"(",""),")",""),".",""),"/",""))</f>
        <v/>
      </c>
      <c r="I100" s="5"/>
      <c r="J100" s="5"/>
      <c r="K100" s="5"/>
      <c r="L100" s="4" t="str">
        <f aca="false">IF($F100="","",IFERROR(INDEX(Lists!$B$2:$B$200,MATCH($F100,Lists!$A$2:$A$200,0)),"Add to Lists"))</f>
        <v/>
      </c>
      <c r="M100" s="5"/>
      <c r="N100" s="5"/>
    </row>
    <row r="101" customFormat="false" ht="15" hidden="false" customHeight="false" outlineLevel="0" collapsed="false">
      <c r="A101" s="4" t="str">
        <f aca="false">IF($I101="","",$I101)</f>
        <v/>
      </c>
      <c r="B101" s="4" t="str">
        <f aca="false">IF($D101="","",IF(ISERROR(FIND(" ",$D101)),"",TRIM(RIGHT(SUBSTITUTE(TRIM($D101)," ",REPT(" ",100)),100))))</f>
        <v/>
      </c>
      <c r="C101" s="4" t="str">
        <f aca="false">IF($D101="","",TRIM(LEFT(TRIM($D101),FIND(" ",TRIM($D101)&amp;" ")-1)))</f>
        <v/>
      </c>
      <c r="D101" s="5"/>
      <c r="E101" s="4" t="str">
        <f aca="false">IF($D101="","",$D101)</f>
        <v/>
      </c>
      <c r="F101" s="5"/>
      <c r="G101" s="6"/>
      <c r="H101" s="7" t="str">
        <f aca="false">IF($G101="","",SUBSTITUTE(SUBSTITUTE(SUBSTITUTE(SUBSTITUTE(SUBSTITUTE(SUBSTITUTE(SUBSTITUTE(TRIM($G101),"+",""),"-","")," ",""),"(",""),")",""),".",""),"/",""))</f>
        <v/>
      </c>
      <c r="I101" s="5"/>
      <c r="J101" s="5"/>
      <c r="K101" s="5"/>
      <c r="L101" s="4" t="str">
        <f aca="false">IF($F101="","",IFERROR(INDEX(Lists!$B$2:$B$200,MATCH($F101,Lists!$A$2:$A$200,0)),"Add to Lists"))</f>
        <v/>
      </c>
      <c r="M101" s="5"/>
      <c r="N101" s="5"/>
    </row>
    <row r="102" customFormat="false" ht="15" hidden="false" customHeight="false" outlineLevel="0" collapsed="false">
      <c r="A102" s="4" t="str">
        <f aca="false">IF($I102="","",$I102)</f>
        <v/>
      </c>
      <c r="B102" s="4" t="str">
        <f aca="false">IF($D102="","",IF(ISERROR(FIND(" ",$D102)),"",TRIM(RIGHT(SUBSTITUTE(TRIM($D102)," ",REPT(" ",100)),100))))</f>
        <v/>
      </c>
      <c r="C102" s="4" t="str">
        <f aca="false">IF($D102="","",TRIM(LEFT(TRIM($D102),FIND(" ",TRIM($D102)&amp;" ")-1)))</f>
        <v/>
      </c>
      <c r="D102" s="5"/>
      <c r="E102" s="4" t="str">
        <f aca="false">IF($D102="","",$D102)</f>
        <v/>
      </c>
      <c r="F102" s="5"/>
      <c r="G102" s="6"/>
      <c r="H102" s="7" t="str">
        <f aca="false">IF($G102="","",SUBSTITUTE(SUBSTITUTE(SUBSTITUTE(SUBSTITUTE(SUBSTITUTE(SUBSTITUTE(SUBSTITUTE(TRIM($G102),"+",""),"-","")," ",""),"(",""),")",""),".",""),"/",""))</f>
        <v/>
      </c>
      <c r="I102" s="5"/>
      <c r="J102" s="5"/>
      <c r="K102" s="5"/>
      <c r="L102" s="4" t="str">
        <f aca="false">IF($F102="","",IFERROR(INDEX(Lists!$B$2:$B$200,MATCH($F102,Lists!$A$2:$A$200,0)),"Add to Lists"))</f>
        <v/>
      </c>
      <c r="M102" s="5"/>
      <c r="N102" s="5"/>
    </row>
    <row r="103" customFormat="false" ht="15" hidden="false" customHeight="false" outlineLevel="0" collapsed="false">
      <c r="A103" s="4" t="str">
        <f aca="false">IF($I103="","",$I103)</f>
        <v/>
      </c>
      <c r="B103" s="4" t="str">
        <f aca="false">IF($D103="","",IF(ISERROR(FIND(" ",$D103)),"",TRIM(RIGHT(SUBSTITUTE(TRIM($D103)," ",REPT(" ",100)),100))))</f>
        <v/>
      </c>
      <c r="C103" s="4" t="str">
        <f aca="false">IF($D103="","",TRIM(LEFT(TRIM($D103),FIND(" ",TRIM($D103)&amp;" ")-1)))</f>
        <v/>
      </c>
      <c r="D103" s="5"/>
      <c r="E103" s="4" t="str">
        <f aca="false">IF($D103="","",$D103)</f>
        <v/>
      </c>
      <c r="F103" s="5"/>
      <c r="G103" s="6"/>
      <c r="H103" s="7" t="str">
        <f aca="false">IF($G103="","",SUBSTITUTE(SUBSTITUTE(SUBSTITUTE(SUBSTITUTE(SUBSTITUTE(SUBSTITUTE(SUBSTITUTE(TRIM($G103),"+",""),"-","")," ",""),"(",""),")",""),".",""),"/",""))</f>
        <v/>
      </c>
      <c r="I103" s="5"/>
      <c r="J103" s="5"/>
      <c r="K103" s="5"/>
      <c r="L103" s="4" t="str">
        <f aca="false">IF($F103="","",IFERROR(INDEX(Lists!$B$2:$B$200,MATCH($F103,Lists!$A$2:$A$200,0)),"Add to Lists"))</f>
        <v/>
      </c>
      <c r="M103" s="5"/>
      <c r="N103" s="5"/>
    </row>
    <row r="104" customFormat="false" ht="15" hidden="false" customHeight="false" outlineLevel="0" collapsed="false">
      <c r="A104" s="4" t="str">
        <f aca="false">IF($I104="","",$I104)</f>
        <v/>
      </c>
      <c r="B104" s="4" t="str">
        <f aca="false">IF($D104="","",IF(ISERROR(FIND(" ",$D104)),"",TRIM(RIGHT(SUBSTITUTE(TRIM($D104)," ",REPT(" ",100)),100))))</f>
        <v/>
      </c>
      <c r="C104" s="4" t="str">
        <f aca="false">IF($D104="","",TRIM(LEFT(TRIM($D104),FIND(" ",TRIM($D104)&amp;" ")-1)))</f>
        <v/>
      </c>
      <c r="D104" s="5"/>
      <c r="E104" s="4" t="str">
        <f aca="false">IF($D104="","",$D104)</f>
        <v/>
      </c>
      <c r="F104" s="5"/>
      <c r="G104" s="6"/>
      <c r="H104" s="7" t="str">
        <f aca="false">IF($G104="","",SUBSTITUTE(SUBSTITUTE(SUBSTITUTE(SUBSTITUTE(SUBSTITUTE(SUBSTITUTE(SUBSTITUTE(TRIM($G104),"+",""),"-","")," ",""),"(",""),")",""),".",""),"/",""))</f>
        <v/>
      </c>
      <c r="I104" s="5"/>
      <c r="J104" s="5"/>
      <c r="K104" s="5"/>
      <c r="L104" s="4" t="str">
        <f aca="false">IF($F104="","",IFERROR(INDEX(Lists!$B$2:$B$200,MATCH($F104,Lists!$A$2:$A$200,0)),"Add to Lists"))</f>
        <v/>
      </c>
      <c r="M104" s="5"/>
      <c r="N104" s="5"/>
    </row>
    <row r="106" customFormat="false" ht="15" hidden="false" customHeight="false" outlineLevel="0" collapsed="false">
      <c r="A106" s="8" t="s">
        <v>16</v>
      </c>
    </row>
    <row r="107" customFormat="false" ht="15" hidden="false" customHeight="false" outlineLevel="0" collapsed="false">
      <c r="A107" s="9" t="s">
        <v>17</v>
      </c>
    </row>
    <row r="108" customFormat="false" ht="15" hidden="false" customHeight="false" outlineLevel="0" collapsed="false">
      <c r="A108" s="9" t="s">
        <v>18</v>
      </c>
    </row>
    <row r="109" customFormat="false" ht="15" hidden="false" customHeight="false" outlineLevel="0" collapsed="false">
      <c r="A109" s="9" t="s">
        <v>19</v>
      </c>
    </row>
    <row r="110" customFormat="false" ht="15" hidden="false" customHeight="false" outlineLevel="0" collapsed="false">
      <c r="A110" s="9" t="s">
        <v>20</v>
      </c>
    </row>
    <row r="111" customFormat="false" ht="15" hidden="false" customHeight="false" outlineLevel="0" collapsed="false">
      <c r="A111" s="9" t="s">
        <v>21</v>
      </c>
    </row>
    <row r="112" customFormat="false" ht="15" hidden="false" customHeight="false" outlineLevel="0" collapsed="false">
      <c r="A112" s="9" t="s">
        <v>22</v>
      </c>
    </row>
    <row r="113" customFormat="false" ht="15" hidden="false" customHeight="false" outlineLevel="0" collapsed="false">
      <c r="A113" s="9" t="s">
        <v>23</v>
      </c>
    </row>
    <row r="114" customFormat="false" ht="15" hidden="false" customHeight="false" outlineLevel="0" collapsed="false">
      <c r="A114" s="9" t="s">
        <v>24</v>
      </c>
    </row>
    <row r="116" customFormat="false" ht="15" hidden="false" customHeight="false" outlineLevel="0" collapsed="false">
      <c r="A116" s="2" t="s">
        <v>25</v>
      </c>
    </row>
  </sheetData>
  <dataValidations count="4">
    <dataValidation allowBlank="true" error="Select a value from the list" errorStyle="stop" errorTitle="Invalid entry" operator="between" showDropDown="false" showErrorMessage="false" showInputMessage="false" sqref="K5:K104" type="list">
      <formula1>Lists!$D$2:$D$47</formula1>
      <formula2>0</formula2>
    </dataValidation>
    <dataValidation allowBlank="true" errorStyle="stop" operator="between" showDropDown="false" showErrorMessage="false" showInputMessage="false" sqref="J5:J104" type="list">
      <formula1>"YES,NO"</formula1>
      <formula2>0</formula2>
    </dataValidation>
    <dataValidation allowBlank="true" errorStyle="stop" operator="between" showDropDown="false" showErrorMessage="false" showInputMessage="false" sqref="F5:F104" type="list">
      <formula1>Lists!$A$2:$A$50</formula1>
      <formula2>0</formula2>
    </dataValidation>
    <dataValidation allowBlank="true" error="Select a value from the list" errorStyle="stop" errorTitle="Invalid entry" operator="between" showDropDown="false" showErrorMessage="false" showInputMessage="false" sqref="M5:M104" type="list">
      <formula1>Lists!$F$2:$F$200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34"/>
    <col collapsed="false" customWidth="true" hidden="false" outlineLevel="0" max="5" min="5" style="0" width="3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3" t="s">
        <v>7</v>
      </c>
      <c r="B1" s="3" t="s">
        <v>13</v>
      </c>
      <c r="D1" s="3" t="s">
        <v>12</v>
      </c>
      <c r="F1" s="3" t="s">
        <v>14</v>
      </c>
    </row>
    <row r="2" customFormat="false" ht="15" hidden="false" customHeight="false" outlineLevel="0" collapsed="false">
      <c r="A2" s="10" t="s">
        <v>26</v>
      </c>
      <c r="B2" s="10" t="s">
        <v>27</v>
      </c>
      <c r="D2" s="10" t="s">
        <v>28</v>
      </c>
      <c r="F2" s="10" t="s">
        <v>29</v>
      </c>
    </row>
    <row r="3" customFormat="false" ht="15" hidden="false" customHeight="false" outlineLevel="0" collapsed="false">
      <c r="A3" s="10" t="s">
        <v>30</v>
      </c>
      <c r="B3" s="10" t="s">
        <v>31</v>
      </c>
      <c r="D3" s="10" t="s">
        <v>32</v>
      </c>
      <c r="F3" s="10" t="s">
        <v>33</v>
      </c>
    </row>
    <row r="4" customFormat="false" ht="15" hidden="false" customHeight="false" outlineLevel="0" collapsed="false">
      <c r="A4" s="10" t="s">
        <v>34</v>
      </c>
      <c r="B4" s="10" t="s">
        <v>27</v>
      </c>
      <c r="D4" s="10" t="s">
        <v>35</v>
      </c>
      <c r="F4" s="10" t="s">
        <v>36</v>
      </c>
    </row>
    <row r="5" customFormat="false" ht="15" hidden="false" customHeight="false" outlineLevel="0" collapsed="false">
      <c r="A5" s="10" t="s">
        <v>37</v>
      </c>
      <c r="B5" s="10" t="s">
        <v>38</v>
      </c>
      <c r="D5" s="10" t="s">
        <v>39</v>
      </c>
      <c r="F5" s="10" t="s">
        <v>26</v>
      </c>
    </row>
    <row r="6" customFormat="false" ht="15" hidden="false" customHeight="false" outlineLevel="0" collapsed="false">
      <c r="A6" s="10" t="s">
        <v>40</v>
      </c>
      <c r="B6" s="10" t="s">
        <v>31</v>
      </c>
      <c r="D6" s="10" t="s">
        <v>41</v>
      </c>
      <c r="F6" s="10" t="s">
        <v>42</v>
      </c>
    </row>
    <row r="7" customFormat="false" ht="15" hidden="false" customHeight="false" outlineLevel="0" collapsed="false">
      <c r="A7" s="10" t="s">
        <v>43</v>
      </c>
      <c r="B7" s="10" t="s">
        <v>27</v>
      </c>
      <c r="D7" s="10" t="s">
        <v>44</v>
      </c>
      <c r="F7" s="10" t="s">
        <v>45</v>
      </c>
    </row>
    <row r="8" customFormat="false" ht="15" hidden="false" customHeight="false" outlineLevel="0" collapsed="false">
      <c r="A8" s="10" t="s">
        <v>46</v>
      </c>
      <c r="B8" s="10" t="s">
        <v>47</v>
      </c>
      <c r="D8" s="10" t="s">
        <v>48</v>
      </c>
      <c r="F8" s="10" t="s">
        <v>49</v>
      </c>
    </row>
    <row r="9" customFormat="false" ht="15" hidden="false" customHeight="false" outlineLevel="0" collapsed="false">
      <c r="A9" s="10" t="s">
        <v>50</v>
      </c>
      <c r="B9" s="10" t="s">
        <v>27</v>
      </c>
      <c r="D9" s="10" t="s">
        <v>51</v>
      </c>
      <c r="F9" s="10" t="s">
        <v>52</v>
      </c>
    </row>
    <row r="10" customFormat="false" ht="15" hidden="false" customHeight="false" outlineLevel="0" collapsed="false">
      <c r="A10" s="10" t="s">
        <v>53</v>
      </c>
      <c r="B10" s="10" t="s">
        <v>27</v>
      </c>
      <c r="D10" s="10" t="s">
        <v>54</v>
      </c>
      <c r="F10" s="10" t="s">
        <v>55</v>
      </c>
    </row>
    <row r="11" customFormat="false" ht="15" hidden="false" customHeight="false" outlineLevel="0" collapsed="false">
      <c r="A11" s="10" t="s">
        <v>56</v>
      </c>
      <c r="B11" s="10" t="s">
        <v>27</v>
      </c>
      <c r="D11" s="10" t="s">
        <v>57</v>
      </c>
      <c r="F11" s="10" t="s">
        <v>58</v>
      </c>
    </row>
    <row r="12" customFormat="false" ht="15" hidden="false" customHeight="false" outlineLevel="0" collapsed="false">
      <c r="A12" s="10" t="s">
        <v>59</v>
      </c>
      <c r="B12" s="10" t="s">
        <v>27</v>
      </c>
      <c r="D12" s="10" t="s">
        <v>60</v>
      </c>
      <c r="F12" s="10" t="s">
        <v>61</v>
      </c>
    </row>
    <row r="13" customFormat="false" ht="15" hidden="false" customHeight="false" outlineLevel="0" collapsed="false">
      <c r="A13" s="10" t="s">
        <v>62</v>
      </c>
      <c r="B13" s="10" t="s">
        <v>63</v>
      </c>
      <c r="D13" s="10" t="s">
        <v>64</v>
      </c>
      <c r="F13" s="10" t="s">
        <v>65</v>
      </c>
    </row>
    <row r="14" customFormat="false" ht="15" hidden="false" customHeight="false" outlineLevel="0" collapsed="false">
      <c r="A14" s="10" t="s">
        <v>66</v>
      </c>
      <c r="B14" s="10" t="s">
        <v>27</v>
      </c>
      <c r="D14" s="10" t="s">
        <v>67</v>
      </c>
      <c r="F14" s="10" t="s">
        <v>68</v>
      </c>
    </row>
    <row r="15" customFormat="false" ht="15" hidden="false" customHeight="false" outlineLevel="0" collapsed="false">
      <c r="A15" s="10" t="s">
        <v>69</v>
      </c>
      <c r="B15" s="10" t="s">
        <v>70</v>
      </c>
      <c r="D15" s="10" t="s">
        <v>71</v>
      </c>
      <c r="F15" s="10" t="s">
        <v>72</v>
      </c>
    </row>
    <row r="16" customFormat="false" ht="15" hidden="false" customHeight="false" outlineLevel="0" collapsed="false">
      <c r="A16" s="10" t="s">
        <v>73</v>
      </c>
      <c r="B16" s="10" t="s">
        <v>74</v>
      </c>
      <c r="D16" s="10" t="s">
        <v>75</v>
      </c>
      <c r="F16" s="10" t="s">
        <v>76</v>
      </c>
    </row>
    <row r="17" customFormat="false" ht="15" hidden="false" customHeight="false" outlineLevel="0" collapsed="false">
      <c r="A17" s="10" t="s">
        <v>77</v>
      </c>
      <c r="B17" s="10" t="s">
        <v>27</v>
      </c>
      <c r="D17" s="10" t="s">
        <v>78</v>
      </c>
      <c r="F17" s="10" t="s">
        <v>79</v>
      </c>
    </row>
    <row r="18" customFormat="false" ht="15" hidden="false" customHeight="false" outlineLevel="0" collapsed="false">
      <c r="A18" s="10" t="s">
        <v>80</v>
      </c>
      <c r="B18" s="10" t="s">
        <v>31</v>
      </c>
      <c r="D18" s="10" t="s">
        <v>81</v>
      </c>
      <c r="F18" s="10" t="s">
        <v>37</v>
      </c>
    </row>
    <row r="19" customFormat="false" ht="15" hidden="false" customHeight="false" outlineLevel="0" collapsed="false">
      <c r="A19" s="10" t="s">
        <v>82</v>
      </c>
      <c r="B19" s="10" t="s">
        <v>27</v>
      </c>
      <c r="D19" s="10" t="s">
        <v>83</v>
      </c>
      <c r="F19" s="10" t="s">
        <v>84</v>
      </c>
    </row>
    <row r="20" customFormat="false" ht="15" hidden="false" customHeight="false" outlineLevel="0" collapsed="false">
      <c r="A20" s="10" t="s">
        <v>85</v>
      </c>
      <c r="B20" s="10" t="s">
        <v>31</v>
      </c>
      <c r="D20" s="10" t="s">
        <v>86</v>
      </c>
      <c r="F20" s="10" t="s">
        <v>87</v>
      </c>
    </row>
    <row r="21" customFormat="false" ht="15" hidden="false" customHeight="false" outlineLevel="0" collapsed="false">
      <c r="A21" s="10" t="s">
        <v>88</v>
      </c>
      <c r="B21" s="10" t="s">
        <v>89</v>
      </c>
      <c r="D21" s="10" t="s">
        <v>90</v>
      </c>
      <c r="F21" s="10" t="s">
        <v>91</v>
      </c>
    </row>
    <row r="22" customFormat="false" ht="15" hidden="false" customHeight="false" outlineLevel="0" collapsed="false">
      <c r="A22" s="10" t="s">
        <v>92</v>
      </c>
      <c r="B22" s="10" t="s">
        <v>93</v>
      </c>
      <c r="D22" s="10" t="s">
        <v>94</v>
      </c>
      <c r="F22" s="10" t="s">
        <v>95</v>
      </c>
    </row>
    <row r="23" customFormat="false" ht="15" hidden="false" customHeight="false" outlineLevel="0" collapsed="false">
      <c r="A23" s="10" t="s">
        <v>96</v>
      </c>
      <c r="B23" s="10" t="s">
        <v>97</v>
      </c>
      <c r="D23" s="10" t="s">
        <v>98</v>
      </c>
      <c r="F23" s="10" t="s">
        <v>99</v>
      </c>
    </row>
    <row r="24" customFormat="false" ht="15" hidden="false" customHeight="false" outlineLevel="0" collapsed="false">
      <c r="A24" s="10" t="s">
        <v>100</v>
      </c>
      <c r="B24" s="10" t="s">
        <v>101</v>
      </c>
      <c r="D24" s="10" t="s">
        <v>102</v>
      </c>
      <c r="F24" s="10" t="s">
        <v>43</v>
      </c>
    </row>
    <row r="25" customFormat="false" ht="15" hidden="false" customHeight="false" outlineLevel="0" collapsed="false">
      <c r="A25" s="10" t="s">
        <v>103</v>
      </c>
      <c r="B25" s="10" t="s">
        <v>104</v>
      </c>
      <c r="D25" s="10" t="s">
        <v>105</v>
      </c>
      <c r="F25" s="10" t="s">
        <v>106</v>
      </c>
    </row>
    <row r="26" customFormat="false" ht="15" hidden="false" customHeight="false" outlineLevel="0" collapsed="false">
      <c r="A26" s="10" t="s">
        <v>107</v>
      </c>
      <c r="B26" s="10" t="s">
        <v>27</v>
      </c>
      <c r="D26" s="10" t="s">
        <v>108</v>
      </c>
      <c r="F26" s="10" t="s">
        <v>109</v>
      </c>
    </row>
    <row r="27" customFormat="false" ht="15" hidden="false" customHeight="false" outlineLevel="0" collapsed="false">
      <c r="A27" s="10" t="s">
        <v>110</v>
      </c>
      <c r="B27" s="10" t="s">
        <v>63</v>
      </c>
      <c r="D27" s="10" t="s">
        <v>111</v>
      </c>
      <c r="F27" s="10" t="s">
        <v>112</v>
      </c>
    </row>
    <row r="28" customFormat="false" ht="15" hidden="false" customHeight="false" outlineLevel="0" collapsed="false">
      <c r="A28" s="10" t="s">
        <v>113</v>
      </c>
      <c r="B28" s="10" t="s">
        <v>114</v>
      </c>
      <c r="D28" s="10" t="s">
        <v>115</v>
      </c>
      <c r="F28" s="10" t="s">
        <v>116</v>
      </c>
    </row>
    <row r="29" customFormat="false" ht="15" hidden="false" customHeight="false" outlineLevel="0" collapsed="false">
      <c r="A29" s="10" t="s">
        <v>117</v>
      </c>
      <c r="B29" s="10" t="s">
        <v>31</v>
      </c>
      <c r="D29" s="10" t="s">
        <v>118</v>
      </c>
      <c r="F29" s="10" t="s">
        <v>119</v>
      </c>
    </row>
    <row r="30" customFormat="false" ht="15" hidden="false" customHeight="false" outlineLevel="0" collapsed="false">
      <c r="A30" s="10" t="s">
        <v>120</v>
      </c>
      <c r="B30" s="10" t="s">
        <v>27</v>
      </c>
      <c r="D30" s="10" t="s">
        <v>121</v>
      </c>
      <c r="F30" s="10" t="s">
        <v>122</v>
      </c>
    </row>
    <row r="31" customFormat="false" ht="15" hidden="false" customHeight="false" outlineLevel="0" collapsed="false">
      <c r="A31" s="10" t="s">
        <v>123</v>
      </c>
      <c r="B31" s="10" t="s">
        <v>27</v>
      </c>
      <c r="D31" s="10" t="s">
        <v>124</v>
      </c>
      <c r="F31" s="10" t="s">
        <v>125</v>
      </c>
    </row>
    <row r="32" customFormat="false" ht="15" hidden="false" customHeight="false" outlineLevel="0" collapsed="false">
      <c r="A32" s="10" t="s">
        <v>126</v>
      </c>
      <c r="B32" s="10" t="s">
        <v>27</v>
      </c>
      <c r="D32" s="10" t="s">
        <v>127</v>
      </c>
      <c r="F32" s="10" t="s">
        <v>62</v>
      </c>
    </row>
    <row r="33" customFormat="false" ht="15" hidden="false" customHeight="false" outlineLevel="0" collapsed="false">
      <c r="A33" s="10" t="s">
        <v>128</v>
      </c>
      <c r="B33" s="10" t="s">
        <v>27</v>
      </c>
      <c r="D33" s="10" t="s">
        <v>129</v>
      </c>
      <c r="F33" s="10" t="s">
        <v>130</v>
      </c>
    </row>
    <row r="34" customFormat="false" ht="15" hidden="false" customHeight="false" outlineLevel="0" collapsed="false">
      <c r="A34" s="10" t="s">
        <v>131</v>
      </c>
      <c r="B34" s="10" t="s">
        <v>31</v>
      </c>
      <c r="D34" s="10" t="s">
        <v>132</v>
      </c>
      <c r="F34" s="10" t="s">
        <v>133</v>
      </c>
    </row>
    <row r="35" customFormat="false" ht="15" hidden="false" customHeight="false" outlineLevel="0" collapsed="false">
      <c r="A35" s="10" t="s">
        <v>134</v>
      </c>
      <c r="B35" s="10" t="s">
        <v>135</v>
      </c>
      <c r="D35" s="10" t="s">
        <v>136</v>
      </c>
      <c r="F35" s="10" t="s">
        <v>137</v>
      </c>
    </row>
    <row r="36" customFormat="false" ht="15" hidden="false" customHeight="false" outlineLevel="0" collapsed="false">
      <c r="A36" s="10" t="s">
        <v>138</v>
      </c>
      <c r="B36" s="10" t="s">
        <v>38</v>
      </c>
      <c r="D36" s="10" t="s">
        <v>139</v>
      </c>
      <c r="F36" s="10" t="s">
        <v>140</v>
      </c>
    </row>
    <row r="37" customFormat="false" ht="15" hidden="false" customHeight="false" outlineLevel="0" collapsed="false">
      <c r="A37" s="10" t="s">
        <v>141</v>
      </c>
      <c r="B37" s="10" t="s">
        <v>27</v>
      </c>
      <c r="D37" s="10" t="s">
        <v>142</v>
      </c>
      <c r="F37" s="10" t="s">
        <v>143</v>
      </c>
    </row>
    <row r="38" customFormat="false" ht="15" hidden="false" customHeight="false" outlineLevel="0" collapsed="false">
      <c r="A38" s="10" t="s">
        <v>144</v>
      </c>
      <c r="B38" s="10" t="s">
        <v>145</v>
      </c>
      <c r="D38" s="10" t="s">
        <v>146</v>
      </c>
      <c r="F38" s="10" t="s">
        <v>147</v>
      </c>
    </row>
    <row r="39" customFormat="false" ht="15" hidden="false" customHeight="false" outlineLevel="0" collapsed="false">
      <c r="A39" s="10" t="s">
        <v>148</v>
      </c>
      <c r="B39" s="10" t="s">
        <v>63</v>
      </c>
      <c r="D39" s="10" t="s">
        <v>149</v>
      </c>
      <c r="F39" s="10" t="s">
        <v>150</v>
      </c>
    </row>
    <row r="40" customFormat="false" ht="15" hidden="false" customHeight="false" outlineLevel="0" collapsed="false">
      <c r="A40" s="10" t="s">
        <v>151</v>
      </c>
      <c r="B40" s="10" t="s">
        <v>31</v>
      </c>
      <c r="D40" s="10" t="s">
        <v>152</v>
      </c>
      <c r="F40" s="10" t="s">
        <v>153</v>
      </c>
    </row>
    <row r="41" customFormat="false" ht="15" hidden="false" customHeight="false" outlineLevel="0" collapsed="false">
      <c r="A41" s="10" t="s">
        <v>154</v>
      </c>
      <c r="B41" s="10" t="s">
        <v>31</v>
      </c>
      <c r="D41" s="10" t="s">
        <v>155</v>
      </c>
      <c r="F41" s="10" t="s">
        <v>156</v>
      </c>
    </row>
    <row r="42" customFormat="false" ht="15" hidden="false" customHeight="false" outlineLevel="0" collapsed="false">
      <c r="A42" s="10" t="s">
        <v>157</v>
      </c>
      <c r="B42" s="10" t="s">
        <v>27</v>
      </c>
      <c r="D42" s="10" t="s">
        <v>158</v>
      </c>
      <c r="F42" s="10" t="s">
        <v>159</v>
      </c>
    </row>
    <row r="43" customFormat="false" ht="15" hidden="false" customHeight="false" outlineLevel="0" collapsed="false">
      <c r="A43" s="10" t="s">
        <v>160</v>
      </c>
      <c r="B43" s="10" t="s">
        <v>161</v>
      </c>
      <c r="D43" s="10" t="s">
        <v>162</v>
      </c>
      <c r="F43" s="10" t="s">
        <v>85</v>
      </c>
    </row>
    <row r="44" customFormat="false" ht="15" hidden="false" customHeight="false" outlineLevel="0" collapsed="false">
      <c r="A44" s="10" t="s">
        <v>163</v>
      </c>
      <c r="B44" s="10" t="s">
        <v>164</v>
      </c>
      <c r="D44" s="10" t="s">
        <v>165</v>
      </c>
      <c r="F44" s="10" t="s">
        <v>166</v>
      </c>
    </row>
    <row r="45" customFormat="false" ht="15" hidden="false" customHeight="false" outlineLevel="0" collapsed="false">
      <c r="A45" s="10" t="s">
        <v>167</v>
      </c>
      <c r="B45" s="10" t="s">
        <v>63</v>
      </c>
      <c r="D45" s="10" t="s">
        <v>168</v>
      </c>
      <c r="F45" s="10" t="s">
        <v>169</v>
      </c>
    </row>
    <row r="46" customFormat="false" ht="15" hidden="false" customHeight="false" outlineLevel="0" collapsed="false">
      <c r="A46" s="10" t="s">
        <v>170</v>
      </c>
      <c r="B46" s="10" t="s">
        <v>31</v>
      </c>
      <c r="D46" s="10" t="s">
        <v>171</v>
      </c>
      <c r="F46" s="10" t="s">
        <v>172</v>
      </c>
    </row>
    <row r="47" customFormat="false" ht="15" hidden="false" customHeight="false" outlineLevel="0" collapsed="false">
      <c r="A47" s="10" t="s">
        <v>173</v>
      </c>
      <c r="B47" s="10" t="s">
        <v>31</v>
      </c>
      <c r="D47" s="10" t="s">
        <v>174</v>
      </c>
      <c r="F47" s="10" t="s">
        <v>96</v>
      </c>
    </row>
    <row r="48" customFormat="false" ht="15" hidden="false" customHeight="false" outlineLevel="0" collapsed="false">
      <c r="A48" s="10" t="s">
        <v>175</v>
      </c>
      <c r="B48" s="10" t="s">
        <v>27</v>
      </c>
      <c r="F48" s="10" t="s">
        <v>176</v>
      </c>
    </row>
    <row r="49" customFormat="false" ht="15" hidden="false" customHeight="false" outlineLevel="0" collapsed="false">
      <c r="A49" s="10" t="s">
        <v>177</v>
      </c>
      <c r="B49" s="10" t="s">
        <v>27</v>
      </c>
      <c r="F49" s="10" t="s">
        <v>178</v>
      </c>
    </row>
    <row r="50" customFormat="false" ht="15" hidden="false" customHeight="false" outlineLevel="0" collapsed="false">
      <c r="A50" s="10" t="s">
        <v>179</v>
      </c>
      <c r="B50" s="10" t="s">
        <v>180</v>
      </c>
      <c r="F50" s="10" t="s">
        <v>181</v>
      </c>
    </row>
    <row r="51" customFormat="false" ht="15" hidden="false" customHeight="false" outlineLevel="0" collapsed="false">
      <c r="F51" s="10" t="s">
        <v>182</v>
      </c>
    </row>
    <row r="52" customFormat="false" ht="15" hidden="false" customHeight="false" outlineLevel="0" collapsed="false">
      <c r="F52" s="10" t="s">
        <v>110</v>
      </c>
    </row>
    <row r="53" customFormat="false" ht="15" hidden="false" customHeight="false" outlineLevel="0" collapsed="false">
      <c r="F53" s="10" t="s">
        <v>183</v>
      </c>
    </row>
    <row r="54" customFormat="false" ht="15" hidden="false" customHeight="false" outlineLevel="0" collapsed="false">
      <c r="F54" s="10" t="s">
        <v>184</v>
      </c>
    </row>
    <row r="55" customFormat="false" ht="15" hidden="false" customHeight="false" outlineLevel="0" collapsed="false">
      <c r="F55" s="10" t="s">
        <v>185</v>
      </c>
    </row>
    <row r="56" customFormat="false" ht="15" hidden="false" customHeight="false" outlineLevel="0" collapsed="false">
      <c r="F56" s="10" t="s">
        <v>186</v>
      </c>
    </row>
    <row r="57" customFormat="false" ht="15" hidden="false" customHeight="false" outlineLevel="0" collapsed="false">
      <c r="F57" s="10" t="s">
        <v>187</v>
      </c>
    </row>
    <row r="58" customFormat="false" ht="15" hidden="false" customHeight="false" outlineLevel="0" collapsed="false">
      <c r="F58" s="10" t="s">
        <v>188</v>
      </c>
    </row>
    <row r="59" customFormat="false" ht="15" hidden="false" customHeight="false" outlineLevel="0" collapsed="false">
      <c r="F59" s="10" t="s">
        <v>189</v>
      </c>
    </row>
    <row r="60" customFormat="false" ht="15" hidden="false" customHeight="false" outlineLevel="0" collapsed="false">
      <c r="F60" s="10" t="s">
        <v>117</v>
      </c>
    </row>
    <row r="61" customFormat="false" ht="15" hidden="false" customHeight="false" outlineLevel="0" collapsed="false">
      <c r="F61" s="10" t="s">
        <v>126</v>
      </c>
    </row>
    <row r="62" customFormat="false" ht="15" hidden="false" customHeight="false" outlineLevel="0" collapsed="false">
      <c r="F62" s="10" t="s">
        <v>190</v>
      </c>
    </row>
    <row r="63" customFormat="false" ht="15" hidden="false" customHeight="false" outlineLevel="0" collapsed="false">
      <c r="F63" s="10" t="s">
        <v>191</v>
      </c>
    </row>
    <row r="64" customFormat="false" ht="15" hidden="false" customHeight="false" outlineLevel="0" collapsed="false">
      <c r="F64" s="10" t="s">
        <v>192</v>
      </c>
    </row>
    <row r="65" customFormat="false" ht="15" hidden="false" customHeight="false" outlineLevel="0" collapsed="false">
      <c r="F65" s="10" t="s">
        <v>193</v>
      </c>
    </row>
    <row r="66" customFormat="false" ht="15" hidden="false" customHeight="false" outlineLevel="0" collapsed="false">
      <c r="F66" s="10" t="s">
        <v>194</v>
      </c>
    </row>
    <row r="67" customFormat="false" ht="15" hidden="false" customHeight="false" outlineLevel="0" collapsed="false">
      <c r="F67" s="10" t="s">
        <v>195</v>
      </c>
    </row>
    <row r="68" customFormat="false" ht="15" hidden="false" customHeight="false" outlineLevel="0" collapsed="false">
      <c r="F68" s="10" t="s">
        <v>175</v>
      </c>
    </row>
    <row r="69" customFormat="false" ht="15" hidden="false" customHeight="false" outlineLevel="0" collapsed="false">
      <c r="F69" s="10" t="s">
        <v>196</v>
      </c>
    </row>
    <row r="70" customFormat="false" ht="15" hidden="false" customHeight="false" outlineLevel="0" collapsed="false">
      <c r="F70" s="10" t="s">
        <v>197</v>
      </c>
    </row>
    <row r="71" customFormat="false" ht="15" hidden="false" customHeight="false" outlineLevel="0" collapsed="false">
      <c r="F71" s="10" t="s">
        <v>198</v>
      </c>
    </row>
    <row r="74" customFormat="false" ht="15" hidden="false" customHeight="false" outlineLevel="0" collapsed="false">
      <c r="A74" s="2" t="s">
        <v>199</v>
      </c>
    </row>
    <row r="75" customFormat="false" ht="15" hidden="false" customHeight="false" outlineLevel="0" collapsed="false">
      <c r="A75" s="2" t="s">
        <v>200</v>
      </c>
    </row>
    <row r="76" customFormat="false" ht="15" hidden="false" customHeight="false" outlineLevel="0" collapsed="false">
      <c r="A76" s="2" t="s">
        <v>201</v>
      </c>
    </row>
    <row r="77" customFormat="false" ht="15" hidden="false" customHeight="false" outlineLevel="0" collapsed="false">
      <c r="A77" s="2" t="s">
        <v>202</v>
      </c>
    </row>
    <row r="78" customFormat="false" ht="15" hidden="false" customHeight="false" outlineLevel="0" collapsed="false">
      <c r="A78" s="2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3" t="s">
        <v>204</v>
      </c>
      <c r="B1" s="3" t="s">
        <v>205</v>
      </c>
      <c r="C1" s="3" t="s">
        <v>206</v>
      </c>
      <c r="D1" s="3" t="s">
        <v>207</v>
      </c>
    </row>
    <row r="2" customFormat="false" ht="23.85" hidden="false" customHeight="false" outlineLevel="0" collapsed="false">
      <c r="A2" s="11" t="n">
        <v>1</v>
      </c>
      <c r="B2" s="12" t="s">
        <v>2</v>
      </c>
      <c r="C2" s="11" t="s">
        <v>208</v>
      </c>
      <c r="D2" s="12" t="s">
        <v>209</v>
      </c>
    </row>
    <row r="3" customFormat="false" ht="15" hidden="false" customHeight="false" outlineLevel="0" collapsed="false">
      <c r="A3" s="11" t="n">
        <v>2</v>
      </c>
      <c r="B3" s="12" t="s">
        <v>3</v>
      </c>
      <c r="C3" s="11" t="s">
        <v>208</v>
      </c>
      <c r="D3" s="12"/>
    </row>
    <row r="4" customFormat="false" ht="15" hidden="false" customHeight="false" outlineLevel="0" collapsed="false">
      <c r="A4" s="11" t="n">
        <v>3</v>
      </c>
      <c r="B4" s="12" t="s">
        <v>4</v>
      </c>
      <c r="C4" s="11" t="s">
        <v>208</v>
      </c>
      <c r="D4" s="12"/>
    </row>
    <row r="5" customFormat="false" ht="15" hidden="false" customHeight="false" outlineLevel="0" collapsed="false">
      <c r="A5" s="11" t="n">
        <v>4</v>
      </c>
      <c r="B5" s="12" t="s">
        <v>5</v>
      </c>
      <c r="C5" s="11" t="s">
        <v>210</v>
      </c>
      <c r="D5" s="12"/>
    </row>
    <row r="6" customFormat="false" ht="15" hidden="false" customHeight="false" outlineLevel="0" collapsed="false">
      <c r="A6" s="11" t="n">
        <v>5</v>
      </c>
      <c r="B6" s="12" t="s">
        <v>6</v>
      </c>
      <c r="C6" s="11" t="s">
        <v>208</v>
      </c>
      <c r="D6" s="12"/>
    </row>
    <row r="7" customFormat="false" ht="15" hidden="false" customHeight="false" outlineLevel="0" collapsed="false">
      <c r="A7" s="11" t="n">
        <v>6</v>
      </c>
      <c r="B7" s="12" t="s">
        <v>7</v>
      </c>
      <c r="C7" s="11" t="s">
        <v>210</v>
      </c>
      <c r="D7" s="12"/>
    </row>
    <row r="8" customFormat="false" ht="15" hidden="false" customHeight="false" outlineLevel="0" collapsed="false">
      <c r="A8" s="11" t="n">
        <v>7</v>
      </c>
      <c r="B8" s="12" t="s">
        <v>8</v>
      </c>
      <c r="C8" s="11" t="s">
        <v>210</v>
      </c>
      <c r="D8" s="12" t="s">
        <v>211</v>
      </c>
    </row>
    <row r="9" customFormat="false" ht="15" hidden="false" customHeight="false" outlineLevel="0" collapsed="false">
      <c r="A9" s="11" t="n">
        <v>8</v>
      </c>
      <c r="B9" s="12" t="s">
        <v>9</v>
      </c>
      <c r="C9" s="11" t="s">
        <v>208</v>
      </c>
      <c r="D9" s="12" t="s">
        <v>212</v>
      </c>
    </row>
    <row r="10" customFormat="false" ht="23.85" hidden="false" customHeight="false" outlineLevel="0" collapsed="false">
      <c r="A10" s="11" t="n">
        <v>9</v>
      </c>
      <c r="B10" s="12" t="s">
        <v>10</v>
      </c>
      <c r="C10" s="11" t="s">
        <v>210</v>
      </c>
      <c r="D10" s="12" t="s">
        <v>213</v>
      </c>
    </row>
    <row r="11" customFormat="false" ht="15" hidden="false" customHeight="false" outlineLevel="0" collapsed="false">
      <c r="A11" s="11" t="n">
        <v>10</v>
      </c>
      <c r="B11" s="12" t="s">
        <v>11</v>
      </c>
      <c r="C11" s="11" t="s">
        <v>210</v>
      </c>
      <c r="D11" s="12" t="s">
        <v>214</v>
      </c>
    </row>
    <row r="12" customFormat="false" ht="15" hidden="false" customHeight="false" outlineLevel="0" collapsed="false">
      <c r="A12" s="11" t="n">
        <v>11</v>
      </c>
      <c r="B12" s="12" t="s">
        <v>12</v>
      </c>
      <c r="C12" s="11" t="s">
        <v>210</v>
      </c>
      <c r="D12" s="12"/>
    </row>
    <row r="13" customFormat="false" ht="15" hidden="false" customHeight="false" outlineLevel="0" collapsed="false">
      <c r="A13" s="11" t="n">
        <v>12</v>
      </c>
      <c r="B13" s="12" t="s">
        <v>13</v>
      </c>
      <c r="C13" s="11" t="s">
        <v>208</v>
      </c>
      <c r="D13" s="12"/>
    </row>
    <row r="14" customFormat="false" ht="15" hidden="false" customHeight="false" outlineLevel="0" collapsed="false">
      <c r="A14" s="11" t="n">
        <v>13</v>
      </c>
      <c r="B14" s="12" t="s">
        <v>14</v>
      </c>
      <c r="C14" s="11" t="s">
        <v>210</v>
      </c>
      <c r="D14" s="12" t="s">
        <v>215</v>
      </c>
    </row>
    <row r="15" customFormat="false" ht="15" hidden="false" customHeight="false" outlineLevel="0" collapsed="false">
      <c r="A15" s="11" t="n">
        <v>14</v>
      </c>
      <c r="B15" s="12" t="s">
        <v>15</v>
      </c>
      <c r="C15" s="11" t="s">
        <v>210</v>
      </c>
      <c r="D15" s="12" t="s">
        <v>216</v>
      </c>
    </row>
    <row r="17" customFormat="false" ht="15" hidden="false" customHeight="false" outlineLevel="0" collapsed="false">
      <c r="A17" s="8" t="s">
        <v>217</v>
      </c>
    </row>
    <row r="18" customFormat="false" ht="15" hidden="false" customHeight="false" outlineLevel="0" collapsed="false">
      <c r="B18" s="9" t="s">
        <v>218</v>
      </c>
    </row>
    <row r="19" customFormat="false" ht="15" hidden="false" customHeight="false" outlineLevel="0" collapsed="false">
      <c r="B19" s="9" t="s">
        <v>219</v>
      </c>
    </row>
    <row r="20" customFormat="false" ht="15" hidden="false" customHeight="false" outlineLevel="0" collapsed="false">
      <c r="B20" s="9" t="s">
        <v>220</v>
      </c>
    </row>
    <row r="21" customFormat="false" ht="15" hidden="false" customHeight="false" outlineLevel="0" collapsed="false">
      <c r="B21" s="9" t="s">
        <v>221</v>
      </c>
    </row>
    <row r="22" customFormat="false" ht="15" hidden="false" customHeight="false" outlineLevel="0" collapsed="false">
      <c r="B22" s="9" t="s">
        <v>222</v>
      </c>
    </row>
    <row r="23" customFormat="false" ht="15" hidden="false" customHeight="false" outlineLevel="0" collapsed="false">
      <c r="B23" s="9" t="s">
        <v>223</v>
      </c>
    </row>
    <row r="24" customFormat="false" ht="15" hidden="false" customHeight="false" outlineLevel="0" collapsed="false">
      <c r="B24" s="9" t="s">
        <v>224</v>
      </c>
    </row>
    <row r="25" customFormat="false" ht="15" hidden="false" customHeight="false" outlineLevel="0" collapsed="false">
      <c r="B25" s="9" t="s">
        <v>225</v>
      </c>
    </row>
    <row r="26" customFormat="false" ht="15" hidden="false" customHeight="false" outlineLevel="0" collapsed="false">
      <c r="B26" s="9" t="s">
        <v>226</v>
      </c>
    </row>
    <row r="27" customFormat="false" ht="15" hidden="false" customHeight="false" outlineLevel="0" collapsed="false">
      <c r="B27" s="9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2026-08-26T07:09:28Z</dcterms:created>
  <dc:creator>openpyxl</dc:creator>
  <dc:description/>
  <dc:language>en-US</dc:language>
  <cp:lastModifiedBy/>
  <dcterms:modified xsi:type="dcterms:W3CDTF">2026-08-26T07:09:28Z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